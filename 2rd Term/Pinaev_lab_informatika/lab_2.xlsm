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ml.chartshapes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ЭтаКнига"/>
  <bookViews>
    <workbookView windowWidth="23040" windowHeight="8604" activeTab="4"/>
  </bookViews>
  <sheets>
    <sheet name="Таблица" sheetId="1" r:id="rId1"/>
    <sheet name="График" sheetId="2" r:id="rId2"/>
    <sheet name="Подбор параметра" sheetId="3" r:id="rId3"/>
    <sheet name="Макросы" sheetId="4" r:id="rId4"/>
    <sheet name="Сводная Таблица" sheetId="5" r:id="rId5"/>
  </sheets>
  <calcPr calcId="144525"/>
  <pivotCaches>
    <pivotCache cacheId="0" r:id="rId6"/>
    <pivotCache cacheId="1" r:id="rId7"/>
  </pivotCaches>
</workbook>
</file>

<file path=xl/sharedStrings.xml><?xml version="1.0" encoding="utf-8"?>
<sst xmlns="http://schemas.openxmlformats.org/spreadsheetml/2006/main" count="608" uniqueCount="166">
  <si>
    <t>Размер оклада</t>
  </si>
  <si>
    <t>Премия, %</t>
  </si>
  <si>
    <t>Оклад &lt;= 20 000</t>
  </si>
  <si>
    <t>Оклад от 20 000 до 25 000</t>
  </si>
  <si>
    <t>Оклад от 25 000 до 30 000</t>
  </si>
  <si>
    <t>Оклад &gt;= 30 000</t>
  </si>
  <si>
    <t>№</t>
  </si>
  <si>
    <t>ФИО</t>
  </si>
  <si>
    <t>Отдел</t>
  </si>
  <si>
    <t>Тариф для расчета, руб.</t>
  </si>
  <si>
    <t>Количество изготовленных изделий(для цеха), шт.</t>
  </si>
  <si>
    <t>Оклад, руб.</t>
  </si>
  <si>
    <t>Премия (% от оклада), %</t>
  </si>
  <si>
    <t>Премия (% от оклада), руб.</t>
  </si>
  <si>
    <t>Доход (оклад + премия), руб.</t>
  </si>
  <si>
    <t>Начисления (34,2 % от дохода), руб.</t>
  </si>
  <si>
    <t>Сумма к выдаче, руб.</t>
  </si>
  <si>
    <t>Петров Д.И.</t>
  </si>
  <si>
    <t>Бухгалтерия</t>
  </si>
  <si>
    <t>Сидоров С.К.</t>
  </si>
  <si>
    <t>Склад</t>
  </si>
  <si>
    <t>Дементьев К.В.</t>
  </si>
  <si>
    <t>Договорной</t>
  </si>
  <si>
    <t>Добрынин Е.Г.</t>
  </si>
  <si>
    <t>Цех</t>
  </si>
  <si>
    <t>Заводин А.П.</t>
  </si>
  <si>
    <t>Давыдов И.И.</t>
  </si>
  <si>
    <t>Павлов Л И.</t>
  </si>
  <si>
    <t>Ильиных О.С.</t>
  </si>
  <si>
    <t>Прохина В.К.</t>
  </si>
  <si>
    <t>Щепкина Е В.</t>
  </si>
  <si>
    <t>Итого:</t>
  </si>
  <si>
    <t>Max оклад</t>
  </si>
  <si>
    <t>Min оклад</t>
  </si>
  <si>
    <t>Ср.доход</t>
  </si>
  <si>
    <t>Кол-во сотр.цеха</t>
  </si>
  <si>
    <t>Отсортированная  по фамилиям и по сумме к выдаче в порядке возрастания исходная таблица</t>
  </si>
  <si>
    <t>по</t>
  </si>
  <si>
    <t>ID заказа</t>
  </si>
  <si>
    <t>Дата выполнения</t>
  </si>
  <si>
    <t>Студент</t>
  </si>
  <si>
    <t>Наименование работы</t>
  </si>
  <si>
    <t>Город</t>
  </si>
  <si>
    <t>Сумма</t>
  </si>
  <si>
    <t>0018</t>
  </si>
  <si>
    <t>05.авг</t>
  </si>
  <si>
    <t>Иванов</t>
  </si>
  <si>
    <t>Тестирование ПО</t>
  </si>
  <si>
    <t>Краснодар</t>
  </si>
  <si>
    <t>500,00р.</t>
  </si>
  <si>
    <t>0019</t>
  </si>
  <si>
    <t>03.сен</t>
  </si>
  <si>
    <t>Троекуров</t>
  </si>
  <si>
    <t>Разработка алгоритма</t>
  </si>
  <si>
    <t>Саратов</t>
  </si>
  <si>
    <t>1 000,00р.</t>
  </si>
  <si>
    <t>0020</t>
  </si>
  <si>
    <t>02.июл</t>
  </si>
  <si>
    <t>Сидоров</t>
  </si>
  <si>
    <t>Иваново</t>
  </si>
  <si>
    <t>2 500,00р.</t>
  </si>
  <si>
    <t>0021</t>
  </si>
  <si>
    <t>17.июл</t>
  </si>
  <si>
    <t>Петренко</t>
  </si>
  <si>
    <t>Волгоград</t>
  </si>
  <si>
    <t>300,00р.</t>
  </si>
  <si>
    <t>0022</t>
  </si>
  <si>
    <t>05.май</t>
  </si>
  <si>
    <t>Астрахань</t>
  </si>
  <si>
    <t>6 000,00р.</t>
  </si>
  <si>
    <t>0023</t>
  </si>
  <si>
    <t>16.авг</t>
  </si>
  <si>
    <t>0024</t>
  </si>
  <si>
    <t>22.сен</t>
  </si>
  <si>
    <t>Деточкин</t>
  </si>
  <si>
    <t>Программирование</t>
  </si>
  <si>
    <t>400,00р.</t>
  </si>
  <si>
    <t>0025</t>
  </si>
  <si>
    <t>10.июл</t>
  </si>
  <si>
    <t>4 300,00р.</t>
  </si>
  <si>
    <t>0026</t>
  </si>
  <si>
    <t>15.авг</t>
  </si>
  <si>
    <t>Аванесов</t>
  </si>
  <si>
    <t>200,00р.</t>
  </si>
  <si>
    <t>0027</t>
  </si>
  <si>
    <t>15.сен</t>
  </si>
  <si>
    <t>7 010,00р.</t>
  </si>
  <si>
    <t>0028</t>
  </si>
  <si>
    <t>12.сен</t>
  </si>
  <si>
    <t>250,00р.</t>
  </si>
  <si>
    <t>0029</t>
  </si>
  <si>
    <t>20.авг</t>
  </si>
  <si>
    <t>630,00р.</t>
  </si>
  <si>
    <t>0030</t>
  </si>
  <si>
    <t>22.июл</t>
  </si>
  <si>
    <t>Внедрение ПО</t>
  </si>
  <si>
    <t>9 500,00р.</t>
  </si>
  <si>
    <t>0031</t>
  </si>
  <si>
    <t>24.авг</t>
  </si>
  <si>
    <t>8 400,00р.</t>
  </si>
  <si>
    <t>0032</t>
  </si>
  <si>
    <t>25.авг</t>
  </si>
  <si>
    <t>0033</t>
  </si>
  <si>
    <t>4 800,00р.</t>
  </si>
  <si>
    <t>0034</t>
  </si>
  <si>
    <t>08.авг</t>
  </si>
  <si>
    <t>2 480,00р.</t>
  </si>
  <si>
    <t>0035</t>
  </si>
  <si>
    <t>09.авг</t>
  </si>
  <si>
    <t>0036</t>
  </si>
  <si>
    <t>10.сен</t>
  </si>
  <si>
    <t>1 540,00р.</t>
  </si>
  <si>
    <t>0037</t>
  </si>
  <si>
    <t>14.сен</t>
  </si>
  <si>
    <t>Рыков</t>
  </si>
  <si>
    <t>1 750,00р.</t>
  </si>
  <si>
    <t>0038</t>
  </si>
  <si>
    <t>29.авг</t>
  </si>
  <si>
    <t>0039</t>
  </si>
  <si>
    <t>24.июл</t>
  </si>
  <si>
    <t>0040</t>
  </si>
  <si>
    <t>0041</t>
  </si>
  <si>
    <t>Лосев</t>
  </si>
  <si>
    <t>0042</t>
  </si>
  <si>
    <t>22.авг</t>
  </si>
  <si>
    <t>0043</t>
  </si>
  <si>
    <t>17.авг</t>
  </si>
  <si>
    <t>0044</t>
  </si>
  <si>
    <t>20.сен</t>
  </si>
  <si>
    <t>0045</t>
  </si>
  <si>
    <t>18.авг</t>
  </si>
  <si>
    <t>0046</t>
  </si>
  <si>
    <t>13.июл</t>
  </si>
  <si>
    <t>0047</t>
  </si>
  <si>
    <t>x</t>
  </si>
  <si>
    <t>y</t>
  </si>
  <si>
    <t>z</t>
  </si>
  <si>
    <t>y-z</t>
  </si>
  <si>
    <t>x1</t>
  </si>
  <si>
    <t>y1</t>
  </si>
  <si>
    <t>x2</t>
  </si>
  <si>
    <t>Москва-Екатеринбург</t>
  </si>
  <si>
    <t>Исходные данные</t>
  </si>
  <si>
    <t>Москва-Сочи</t>
  </si>
  <si>
    <t>Подбор кол-ва пассажиров</t>
  </si>
  <si>
    <t>расстояние</t>
  </si>
  <si>
    <t>2000</t>
  </si>
  <si>
    <t>км</t>
  </si>
  <si>
    <t>расход бензина на 100 км</t>
  </si>
  <si>
    <t>8</t>
  </si>
  <si>
    <t>л</t>
  </si>
  <si>
    <t>цена бензина</t>
  </si>
  <si>
    <t>30,11</t>
  </si>
  <si>
    <t>р-</t>
  </si>
  <si>
    <t>кол-во пассажиров</t>
  </si>
  <si>
    <t>2</t>
  </si>
  <si>
    <t>чел.</t>
  </si>
  <si>
    <t>цена билета в купе РЖД</t>
  </si>
  <si>
    <t>р./чел.</t>
  </si>
  <si>
    <t>разность между авто и ж/д</t>
  </si>
  <si>
    <t>Р-</t>
  </si>
  <si>
    <t>Подбор цены билета</t>
  </si>
  <si>
    <t>Подбор расхода бензина</t>
  </si>
  <si>
    <t>Подбор цены бензина</t>
  </si>
  <si>
    <t>Количество Сумма</t>
  </si>
  <si>
    <t>Общий итог</t>
  </si>
</sst>
</file>

<file path=xl/styles.xml><?xml version="1.0" encoding="utf-8"?>
<styleSheet xmlns="http://schemas.openxmlformats.org/spreadsheetml/2006/main">
  <numFmts count="5">
    <numFmt numFmtId="176" formatCode="_-* #\.##0_-;\-* #\.##0_-;_-* &quot;-&quot;_-;_-@_-"/>
    <numFmt numFmtId="177" formatCode="_-* #\.##0\ &quot;₽&quot;_-;\-* #\.##0\ &quot;₽&quot;_-;_-* \-\ &quot;₽&quot;_-;_-@_-"/>
    <numFmt numFmtId="178" formatCode="_-* #\.##0.00\ &quot;₽&quot;_-;\-* #\.##0.00\ &quot;₽&quot;_-;_-* \-??\ &quot;₽&quot;_-;_-@_-"/>
    <numFmt numFmtId="179" formatCode="_-* #\.##0.00_-;\-* #\.##0.00_-;_-* &quot;-&quot;??_-;_-@_-"/>
    <numFmt numFmtId="180" formatCode="_-* #\ ##0.00\ [$₽-419]_-;\-* #\ ##0.00\ [$₽-419]_-;_-* &quot;-&quot;??\ [$₽-419]_-;_-@_-"/>
  </numFmts>
  <fonts count="36">
    <font>
      <sz val="11"/>
      <color theme="1"/>
      <name val="Calibri"/>
      <charset val="134"/>
      <scheme val="minor"/>
    </font>
    <font>
      <b/>
      <sz val="16"/>
      <name val="Arial"/>
      <charset val="204"/>
    </font>
    <font>
      <sz val="16"/>
      <name val="Arial"/>
      <charset val="204"/>
    </font>
    <font>
      <b/>
      <sz val="10"/>
      <name val="Calibri"/>
      <charset val="204"/>
    </font>
    <font>
      <sz val="10"/>
      <name val="Calibri"/>
      <charset val="204"/>
    </font>
    <font>
      <sz val="10"/>
      <name val="Arial"/>
      <charset val="134"/>
    </font>
    <font>
      <sz val="11"/>
      <color theme="1"/>
      <name val="Calibri"/>
      <charset val="204"/>
      <scheme val="minor"/>
    </font>
    <font>
      <b/>
      <sz val="15"/>
      <color theme="1"/>
      <name val="Arial"/>
      <charset val="204"/>
    </font>
    <font>
      <sz val="15"/>
      <name val="Arial"/>
      <charset val="134"/>
    </font>
    <font>
      <sz val="15"/>
      <name val="Arial"/>
      <charset val="204"/>
    </font>
    <font>
      <b/>
      <sz val="15"/>
      <name val="Arial"/>
      <charset val="134"/>
    </font>
    <font>
      <sz val="14"/>
      <name val="Arial"/>
      <charset val="204"/>
    </font>
    <font>
      <sz val="14"/>
      <color theme="1"/>
      <name val="Calibri"/>
      <charset val="204"/>
      <scheme val="minor"/>
    </font>
    <font>
      <sz val="11"/>
      <color theme="1"/>
      <name val="Times New Roman"/>
      <charset val="134"/>
    </font>
    <font>
      <b/>
      <sz val="14"/>
      <color theme="1"/>
      <name val="Times New Roman"/>
      <charset val="134"/>
    </font>
    <font>
      <sz val="14"/>
      <color theme="1"/>
      <name val="Arial"/>
      <charset val="204"/>
    </font>
    <font>
      <b/>
      <sz val="15"/>
      <name val="Arial"/>
      <charset val="204"/>
    </font>
    <font>
      <sz val="11"/>
      <color rgb="FF00610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FF00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0" fontId="18" fillId="6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22" fillId="13" borderId="20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0" fillId="17" borderId="22" applyNumberFormat="0" applyFon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23" applyNumberFormat="0" applyFill="0" applyAlignment="0" applyProtection="0">
      <alignment vertical="center"/>
    </xf>
    <xf numFmtId="0" fontId="31" fillId="0" borderId="23" applyNumberFormat="0" applyFill="0" applyAlignment="0" applyProtection="0">
      <alignment vertical="center"/>
    </xf>
    <xf numFmtId="0" fontId="24" fillId="0" borderId="24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2" fillId="21" borderId="25" applyNumberFormat="0" applyAlignment="0" applyProtection="0">
      <alignment vertical="center"/>
    </xf>
    <xf numFmtId="0" fontId="25" fillId="15" borderId="21" applyNumberFormat="0" applyAlignment="0" applyProtection="0">
      <alignment vertical="center"/>
    </xf>
    <xf numFmtId="0" fontId="33" fillId="13" borderId="25" applyNumberFormat="0" applyAlignment="0" applyProtection="0">
      <alignment vertical="center"/>
    </xf>
    <xf numFmtId="0" fontId="34" fillId="0" borderId="26" applyNumberFormat="0" applyFill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</cellStyleXfs>
  <cellXfs count="107">
    <xf numFmtId="0" fontId="0" fillId="0" borderId="0" xfId="0">
      <alignment vertical="center"/>
    </xf>
    <xf numFmtId="0" fontId="1" fillId="0" borderId="1" xfId="0" applyNumberFormat="1" applyFont="1" applyFill="1" applyBorder="1" applyAlignment="1" applyProtection="1">
      <alignment horizontal="left"/>
    </xf>
    <xf numFmtId="0" fontId="1" fillId="0" borderId="1" xfId="0" applyNumberFormat="1" applyFont="1" applyFill="1" applyBorder="1" applyAlignment="1" applyProtection="1">
      <alignment horizontal="left" vertical="top"/>
    </xf>
    <xf numFmtId="0" fontId="1" fillId="0" borderId="2" xfId="0" applyNumberFormat="1" applyFont="1" applyFill="1" applyBorder="1" applyAlignment="1" applyProtection="1">
      <alignment horizontal="left"/>
    </xf>
    <xf numFmtId="0" fontId="2" fillId="0" borderId="3" xfId="0" applyNumberFormat="1" applyFont="1" applyFill="1" applyBorder="1" applyAlignment="1" applyProtection="1">
      <alignment horizontal="left" indent="4"/>
    </xf>
    <xf numFmtId="0" fontId="2" fillId="0" borderId="3" xfId="0" applyNumberFormat="1" applyFont="1" applyFill="1" applyBorder="1" applyAlignment="1" applyProtection="1">
      <alignment horizontal="right"/>
    </xf>
    <xf numFmtId="0" fontId="2" fillId="0" borderId="3" xfId="0" applyNumberFormat="1" applyFont="1" applyFill="1" applyBorder="1" applyAlignment="1" applyProtection="1">
      <alignment horizontal="left"/>
    </xf>
    <xf numFmtId="178" fontId="2" fillId="0" borderId="3" xfId="9" applyNumberFormat="1" applyFont="1" applyFill="1" applyBorder="1" applyAlignment="1" applyProtection="1">
      <alignment horizontal="right"/>
    </xf>
    <xf numFmtId="0" fontId="2" fillId="0" borderId="4" xfId="0" applyNumberFormat="1" applyFont="1" applyFill="1" applyBorder="1" applyAlignment="1" applyProtection="1">
      <alignment horizontal="left" indent="4"/>
    </xf>
    <xf numFmtId="0" fontId="2" fillId="0" borderId="4" xfId="0" applyNumberFormat="1" applyFont="1" applyFill="1" applyBorder="1" applyAlignment="1" applyProtection="1">
      <alignment horizontal="right"/>
    </xf>
    <xf numFmtId="0" fontId="2" fillId="0" borderId="4" xfId="0" applyNumberFormat="1" applyFont="1" applyFill="1" applyBorder="1" applyAlignment="1" applyProtection="1">
      <alignment horizontal="left"/>
    </xf>
    <xf numFmtId="178" fontId="2" fillId="0" borderId="4" xfId="9" applyNumberFormat="1" applyFont="1" applyFill="1" applyBorder="1" applyAlignment="1" applyProtection="1">
      <alignment horizontal="right"/>
    </xf>
    <xf numFmtId="0" fontId="2" fillId="0" borderId="4" xfId="0" applyNumberFormat="1" applyFont="1" applyFill="1" applyBorder="1" applyAlignment="1" applyProtection="1">
      <alignment horizontal="left" vertical="center" indent="4"/>
    </xf>
    <xf numFmtId="0" fontId="2" fillId="0" borderId="4" xfId="0" applyNumberFormat="1" applyFont="1" applyFill="1" applyBorder="1" applyAlignment="1" applyProtection="1">
      <alignment horizontal="right" vertical="center"/>
    </xf>
    <xf numFmtId="0" fontId="2" fillId="0" borderId="4" xfId="0" applyNumberFormat="1" applyFont="1" applyFill="1" applyBorder="1" applyAlignment="1" applyProtection="1">
      <alignment horizontal="left" vertical="center"/>
    </xf>
    <xf numFmtId="178" fontId="2" fillId="0" borderId="4" xfId="9" applyNumberFormat="1" applyFont="1" applyFill="1" applyBorder="1" applyAlignment="1" applyProtection="1">
      <alignment horizontal="right" vertical="center"/>
    </xf>
    <xf numFmtId="0" fontId="3" fillId="0" borderId="0" xfId="0" applyNumberFormat="1" applyFont="1" applyFill="1" applyBorder="1" applyAlignment="1" applyProtection="1">
      <alignment horizontal="left"/>
    </xf>
    <xf numFmtId="0" fontId="4" fillId="0" borderId="5" xfId="0" applyNumberFormat="1" applyFont="1" applyFill="1" applyBorder="1" applyAlignment="1" applyProtection="1">
      <alignment horizontal="left"/>
    </xf>
    <xf numFmtId="0" fontId="4" fillId="0" borderId="6" xfId="0" applyNumberFormat="1" applyFont="1" applyFill="1" applyBorder="1" applyAlignment="1" applyProtection="1">
      <alignment horizontal="right"/>
    </xf>
    <xf numFmtId="0" fontId="4" fillId="0" borderId="7" xfId="0" applyNumberFormat="1" applyFont="1" applyFill="1" applyBorder="1" applyAlignment="1" applyProtection="1">
      <alignment horizontal="left"/>
    </xf>
    <xf numFmtId="0" fontId="4" fillId="0" borderId="8" xfId="0" applyNumberFormat="1" applyFont="1" applyFill="1" applyBorder="1" applyAlignment="1" applyProtection="1">
      <alignment horizontal="left" vertical="center"/>
    </xf>
    <xf numFmtId="0" fontId="4" fillId="0" borderId="4" xfId="0" applyNumberFormat="1" applyFont="1" applyFill="1" applyBorder="1" applyAlignment="1" applyProtection="1">
      <alignment horizontal="right"/>
    </xf>
    <xf numFmtId="0" fontId="4" fillId="0" borderId="9" xfId="0" applyNumberFormat="1" applyFont="1" applyFill="1" applyBorder="1" applyAlignment="1" applyProtection="1">
      <alignment horizontal="left" vertical="center"/>
    </xf>
    <xf numFmtId="0" fontId="4" fillId="0" borderId="8" xfId="0" applyNumberFormat="1" applyFont="1" applyFill="1" applyBorder="1" applyAlignment="1" applyProtection="1">
      <alignment horizontal="left"/>
    </xf>
    <xf numFmtId="0" fontId="4" fillId="0" borderId="9" xfId="0" applyNumberFormat="1" applyFont="1" applyFill="1" applyBorder="1" applyAlignment="1" applyProtection="1">
      <alignment horizontal="left"/>
    </xf>
    <xf numFmtId="0" fontId="4" fillId="2" borderId="4" xfId="0" applyNumberFormat="1" applyFont="1" applyFill="1" applyBorder="1" applyAlignment="1" applyProtection="1">
      <alignment horizontal="right"/>
    </xf>
    <xf numFmtId="0" fontId="4" fillId="0" borderId="10" xfId="0" applyNumberFormat="1" applyFont="1" applyFill="1" applyBorder="1" applyAlignment="1" applyProtection="1">
      <alignment horizontal="left" vertical="center"/>
    </xf>
    <xf numFmtId="0" fontId="4" fillId="0" borderId="11" xfId="0" applyNumberFormat="1" applyFont="1" applyFill="1" applyBorder="1" applyAlignment="1" applyProtection="1">
      <alignment horizontal="right"/>
    </xf>
    <xf numFmtId="0" fontId="4" fillId="0" borderId="12" xfId="0" applyNumberFormat="1" applyFont="1" applyFill="1" applyBorder="1" applyAlignment="1" applyProtection="1">
      <alignment horizontal="left"/>
    </xf>
    <xf numFmtId="0" fontId="5" fillId="0" borderId="0" xfId="0" applyNumberFormat="1" applyFont="1" applyFill="1" applyBorder="1" applyAlignment="1" applyProtection="1">
      <alignment horizontal="left" vertical="top" indent="4"/>
    </xf>
    <xf numFmtId="0" fontId="4" fillId="0" borderId="0" xfId="0" applyNumberFormat="1" applyFont="1" applyFill="1" applyBorder="1" applyAlignment="1" applyProtection="1">
      <alignment horizontal="left"/>
    </xf>
    <xf numFmtId="0" fontId="4" fillId="0" borderId="0" xfId="0" applyNumberFormat="1" applyFont="1" applyFill="1" applyBorder="1" applyAlignment="1" applyProtection="1">
      <alignment horizontal="right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5" fillId="0" borderId="0" xfId="0" applyNumberFormat="1" applyFont="1" applyFill="1" applyBorder="1" applyAlignment="1" applyProtection="1">
      <alignment vertical="top"/>
    </xf>
    <xf numFmtId="0" fontId="6" fillId="0" borderId="0" xfId="0" applyFont="1" applyAlignment="1">
      <alignment vertical="center"/>
    </xf>
    <xf numFmtId="0" fontId="6" fillId="0" borderId="0" xfId="0" applyFont="1">
      <alignment vertical="center"/>
    </xf>
    <xf numFmtId="0" fontId="0" fillId="0" borderId="4" xfId="0" applyBorder="1">
      <alignment vertical="center"/>
    </xf>
    <xf numFmtId="0" fontId="0" fillId="3" borderId="4" xfId="0" applyFill="1" applyBorder="1">
      <alignment vertical="center"/>
    </xf>
    <xf numFmtId="2" fontId="0" fillId="0" borderId="4" xfId="0" applyNumberFormat="1" applyBorder="1">
      <alignment vertical="center"/>
    </xf>
    <xf numFmtId="2" fontId="0" fillId="0" borderId="0" xfId="0" applyNumberFormat="1">
      <alignment vertical="center"/>
    </xf>
    <xf numFmtId="0" fontId="0" fillId="4" borderId="4" xfId="0" applyFill="1" applyBorder="1">
      <alignment vertical="center"/>
    </xf>
    <xf numFmtId="0" fontId="0" fillId="0" borderId="0" xfId="0" applyBorder="1">
      <alignment vertical="center"/>
    </xf>
    <xf numFmtId="0" fontId="6" fillId="0" borderId="4" xfId="0" applyFont="1" applyBorder="1">
      <alignment vertical="center"/>
    </xf>
    <xf numFmtId="0" fontId="6" fillId="0" borderId="4" xfId="0" applyFont="1" applyBorder="1" applyAlignment="1">
      <alignment vertical="center"/>
    </xf>
    <xf numFmtId="0" fontId="7" fillId="0" borderId="0" xfId="0" applyFont="1">
      <alignment vertical="center"/>
    </xf>
    <xf numFmtId="0" fontId="8" fillId="0" borderId="1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5" fillId="0" borderId="0" xfId="0" applyFont="1" applyAlignment="1">
      <alignment horizontal="left" vertical="top"/>
    </xf>
    <xf numFmtId="0" fontId="5" fillId="0" borderId="0" xfId="0" applyFont="1" applyBorder="1" applyAlignment="1">
      <alignment horizontal="left" vertical="top"/>
    </xf>
    <xf numFmtId="0" fontId="5" fillId="0" borderId="0" xfId="0" applyFont="1" applyBorder="1" applyAlignment="1">
      <alignment horizontal="left" vertical="top" indent="1"/>
    </xf>
    <xf numFmtId="0" fontId="5" fillId="0" borderId="0" xfId="0" applyFont="1" applyBorder="1" applyAlignment="1">
      <alignment horizontal="left" vertical="top" indent="2"/>
    </xf>
    <xf numFmtId="180" fontId="9" fillId="0" borderId="13" xfId="0" applyNumberFormat="1" applyFont="1" applyBorder="1" applyAlignment="1">
      <alignment horizontal="left" vertical="center"/>
    </xf>
    <xf numFmtId="0" fontId="8" fillId="0" borderId="14" xfId="0" applyFont="1" applyBorder="1" applyAlignment="1">
      <alignment horizontal="right" vertical="center"/>
    </xf>
    <xf numFmtId="180" fontId="8" fillId="0" borderId="13" xfId="0" applyNumberFormat="1" applyFont="1" applyBorder="1" applyAlignment="1">
      <alignment horizontal="left" vertical="center"/>
    </xf>
    <xf numFmtId="0" fontId="5" fillId="0" borderId="0" xfId="0" applyFont="1" applyAlignment="1">
      <alignment horizontal="left" vertical="top" indent="4"/>
    </xf>
    <xf numFmtId="0" fontId="5" fillId="0" borderId="0" xfId="0" applyFont="1" applyBorder="1" applyAlignment="1">
      <alignment horizontal="left" vertical="top" indent="4"/>
    </xf>
    <xf numFmtId="0" fontId="8" fillId="0" borderId="1" xfId="0" applyFont="1" applyBorder="1" applyAlignment="1">
      <alignment horizontal="left" vertical="top" indent="1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 applyAlignment="1">
      <alignment horizontal="center" vertical="top" wrapText="1"/>
    </xf>
    <xf numFmtId="0" fontId="11" fillId="0" borderId="13" xfId="0" applyFont="1" applyBorder="1" applyAlignment="1">
      <alignment horizontal="left" vertical="center" indent="1"/>
    </xf>
    <xf numFmtId="0" fontId="11" fillId="0" borderId="14" xfId="0" applyFont="1" applyBorder="1" applyAlignment="1">
      <alignment horizontal="left" vertical="top"/>
    </xf>
    <xf numFmtId="0" fontId="11" fillId="0" borderId="14" xfId="0" applyFont="1" applyBorder="1" applyAlignment="1">
      <alignment horizontal="left" vertical="top" indent="2"/>
    </xf>
    <xf numFmtId="0" fontId="11" fillId="0" borderId="14" xfId="0" applyFont="1" applyBorder="1" applyAlignment="1">
      <alignment horizontal="right" vertical="top"/>
    </xf>
    <xf numFmtId="0" fontId="11" fillId="0" borderId="14" xfId="0" applyNumberFormat="1" applyFont="1" applyBorder="1" applyAlignment="1">
      <alignment horizontal="left" vertical="top" indent="4"/>
    </xf>
    <xf numFmtId="0" fontId="11" fillId="0" borderId="14" xfId="0" applyFont="1" applyBorder="1" applyAlignment="1">
      <alignment horizontal="left" vertical="top" indent="1"/>
    </xf>
    <xf numFmtId="0" fontId="11" fillId="0" borderId="14" xfId="0" applyFont="1" applyBorder="1" applyAlignment="1">
      <alignment horizontal="left" vertical="center"/>
    </xf>
    <xf numFmtId="0" fontId="11" fillId="0" borderId="14" xfId="0" applyFont="1" applyBorder="1" applyAlignment="1">
      <alignment horizontal="center" vertical="center"/>
    </xf>
    <xf numFmtId="0" fontId="11" fillId="0" borderId="14" xfId="0" applyFont="1" applyBorder="1" applyAlignment="1">
      <alignment horizontal="right" vertical="center"/>
    </xf>
    <xf numFmtId="0" fontId="11" fillId="0" borderId="13" xfId="0" applyFont="1" applyBorder="1" applyAlignment="1">
      <alignment horizontal="left" vertical="top" indent="1"/>
    </xf>
    <xf numFmtId="0" fontId="11" fillId="0" borderId="14" xfId="0" applyFont="1" applyBorder="1" applyAlignment="1">
      <alignment horizontal="center" vertical="top"/>
    </xf>
    <xf numFmtId="0" fontId="11" fillId="0" borderId="0" xfId="0" applyFont="1" applyAlignment="1">
      <alignment horizontal="left" vertical="top" indent="1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indent="2"/>
    </xf>
    <xf numFmtId="0" fontId="11" fillId="0" borderId="15" xfId="0" applyFont="1" applyBorder="1" applyAlignment="1">
      <alignment horizontal="left" vertical="top"/>
    </xf>
    <xf numFmtId="0" fontId="11" fillId="0" borderId="16" xfId="0" applyFont="1" applyBorder="1" applyAlignment="1">
      <alignment horizontal="left" vertical="top"/>
    </xf>
    <xf numFmtId="0" fontId="11" fillId="0" borderId="17" xfId="0" applyFont="1" applyBorder="1" applyAlignment="1">
      <alignment horizontal="left" vertical="top"/>
    </xf>
    <xf numFmtId="0" fontId="11" fillId="0" borderId="0" xfId="0" applyFont="1" applyBorder="1" applyAlignment="1">
      <alignment horizontal="left" vertical="top" indent="2"/>
    </xf>
    <xf numFmtId="0" fontId="11" fillId="0" borderId="1" xfId="0" applyFont="1" applyBorder="1" applyAlignment="1">
      <alignment horizontal="left" vertical="top"/>
    </xf>
    <xf numFmtId="0" fontId="11" fillId="0" borderId="2" xfId="0" applyNumberFormat="1" applyFont="1" applyBorder="1" applyAlignment="1">
      <alignment horizontal="left" vertical="top"/>
    </xf>
    <xf numFmtId="0" fontId="11" fillId="0" borderId="1" xfId="0" applyNumberFormat="1" applyFont="1" applyBorder="1" applyAlignment="1">
      <alignment horizontal="left" vertical="top"/>
    </xf>
    <xf numFmtId="0" fontId="11" fillId="0" borderId="0" xfId="0" applyNumberFormat="1" applyFont="1" applyBorder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0" fontId="11" fillId="0" borderId="0" xfId="0" applyNumberFormat="1" applyFont="1" applyAlignment="1">
      <alignment horizontal="left" vertical="top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2" fillId="0" borderId="13" xfId="0" applyFont="1" applyBorder="1">
      <alignment vertical="center"/>
    </xf>
    <xf numFmtId="0" fontId="12" fillId="0" borderId="18" xfId="0" applyFont="1" applyBorder="1">
      <alignment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" fillId="0" borderId="18" xfId="0" applyFont="1" applyBorder="1" applyAlignment="1">
      <alignment vertical="center"/>
    </xf>
    <xf numFmtId="0" fontId="14" fillId="0" borderId="16" xfId="0" applyFont="1" applyBorder="1" applyAlignment="1">
      <alignment vertical="center"/>
    </xf>
    <xf numFmtId="0" fontId="0" fillId="0" borderId="8" xfId="0" applyBorder="1">
      <alignment vertical="center"/>
    </xf>
    <xf numFmtId="0" fontId="15" fillId="0" borderId="4" xfId="0" applyFont="1" applyBorder="1">
      <alignment vertical="center"/>
    </xf>
    <xf numFmtId="0" fontId="0" fillId="0" borderId="10" xfId="0" applyBorder="1">
      <alignment vertical="center"/>
    </xf>
    <xf numFmtId="0" fontId="15" fillId="0" borderId="11" xfId="0" applyFont="1" applyBorder="1">
      <alignment vertical="center"/>
    </xf>
    <xf numFmtId="0" fontId="5" fillId="0" borderId="0" xfId="0" applyFont="1" applyAlignment="1">
      <alignment horizontal="left" vertical="top" indent="1"/>
    </xf>
    <xf numFmtId="0" fontId="16" fillId="0" borderId="2" xfId="0" applyFont="1" applyBorder="1" applyAlignment="1">
      <alignment horizontal="center" vertical="top" wrapText="1"/>
    </xf>
    <xf numFmtId="0" fontId="11" fillId="0" borderId="15" xfId="0" applyFont="1" applyBorder="1" applyAlignment="1">
      <alignment horizontal="left" vertical="top" indent="2"/>
    </xf>
    <xf numFmtId="0" fontId="11" fillId="0" borderId="15" xfId="0" applyFont="1" applyBorder="1" applyAlignment="1">
      <alignment horizontal="left" vertical="top" indent="1"/>
    </xf>
    <xf numFmtId="0" fontId="14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15" fillId="0" borderId="9" xfId="0" applyFont="1" applyBorder="1">
      <alignment vertical="center"/>
    </xf>
    <xf numFmtId="0" fontId="15" fillId="0" borderId="12" xfId="0" applyFont="1" applyBorder="1">
      <alignment vertical="center"/>
    </xf>
    <xf numFmtId="0" fontId="8" fillId="0" borderId="0" xfId="0" applyFont="1" applyBorder="1" applyAlignment="1">
      <alignment horizontal="right" vertical="center"/>
    </xf>
    <xf numFmtId="0" fontId="8" fillId="0" borderId="0" xfId="0" applyFont="1" applyBorder="1" applyAlignment="1">
      <alignment horizontal="left" vertical="center" indent="1"/>
    </xf>
    <xf numFmtId="0" fontId="8" fillId="0" borderId="0" xfId="0" applyFont="1" applyBorder="1" applyAlignment="1">
      <alignment horizontal="center" vertical="center"/>
    </xf>
  </cellXfs>
  <cellStyles count="49">
    <cellStyle name="Обычный" xfId="0" builtinId="0"/>
    <cellStyle name="20% — Акцент3" xfId="1" builtinId="38"/>
    <cellStyle name="Денежный [0]" xfId="2" builtinId="7"/>
    <cellStyle name="40% — Акцент5" xfId="3" builtinId="47"/>
    <cellStyle name="Хороший" xfId="4" builtinId="26"/>
    <cellStyle name="Запятая [0]" xfId="5" builtinId="6"/>
    <cellStyle name="Денежный" xfId="6" builtinId="4"/>
    <cellStyle name="Запятая" xfId="7" builtinId="3"/>
    <cellStyle name="40% — Акцент6" xfId="8" builtinId="51"/>
    <cellStyle name="Процент" xfId="9" builtinId="5"/>
    <cellStyle name="20% — Акцент2" xfId="10" builtinId="34"/>
    <cellStyle name="Итого" xfId="11" builtinId="25"/>
    <cellStyle name="Вывод" xfId="12" builtinId="21"/>
    <cellStyle name="Гиперссылка" xfId="13" builtinId="8"/>
    <cellStyle name="40% — Акцент4" xfId="14" builtinId="43"/>
    <cellStyle name="Открывавшаяся гиперссылка" xfId="15" builtinId="9"/>
    <cellStyle name="Примечание" xfId="16" builtinId="10"/>
    <cellStyle name="Предупреждающий текст" xfId="17" builtinId="11"/>
    <cellStyle name="Заголовок" xfId="18" builtinId="15"/>
    <cellStyle name="Пояснительный текст" xfId="19" builtinId="53"/>
    <cellStyle name="Заголовок 1" xfId="20" builtinId="16"/>
    <cellStyle name="Заголовок 2" xfId="21" builtinId="17"/>
    <cellStyle name="Заголовок 3" xfId="22" builtinId="18"/>
    <cellStyle name="Заголовок 4" xfId="23" builtinId="19"/>
    <cellStyle name="Ввод" xfId="24" builtinId="20"/>
    <cellStyle name="Проверить ячейку" xfId="25" builtinId="23"/>
    <cellStyle name="Вычисление" xfId="26" builtinId="22"/>
    <cellStyle name="Связанная ячейка" xfId="27" builtinId="24"/>
    <cellStyle name="Плохой" xfId="28" builtinId="27"/>
    <cellStyle name="Акцент5" xfId="29" builtinId="45"/>
    <cellStyle name="Нейтральный" xfId="30" builtinId="28"/>
    <cellStyle name="Акцент1" xfId="31" builtinId="29"/>
    <cellStyle name="20% — Акцент1" xfId="32" builtinId="30"/>
    <cellStyle name="40% — Акцент1" xfId="33" builtinId="31"/>
    <cellStyle name="20% — Акцент5" xfId="34" builtinId="46"/>
    <cellStyle name="60% — Акцент1" xfId="35" builtinId="32"/>
    <cellStyle name="Акцент2" xfId="36" builtinId="33"/>
    <cellStyle name="40% — Акцент2" xfId="37" builtinId="35"/>
    <cellStyle name="20% — Акцент6" xfId="38" builtinId="50"/>
    <cellStyle name="60% — Акцент2" xfId="39" builtinId="36"/>
    <cellStyle name="Акцент3" xfId="40" builtinId="37"/>
    <cellStyle name="40% — Акцент3" xfId="41" builtinId="39"/>
    <cellStyle name="60% — Акцент3" xfId="42" builtinId="40"/>
    <cellStyle name="Акцент4" xfId="43" builtinId="41"/>
    <cellStyle name="20% — Акцент4" xfId="44" builtinId="42"/>
    <cellStyle name="60% — Акцент4" xfId="45" builtinId="44"/>
    <cellStyle name="60% — Акцент5" xfId="46" builtinId="48"/>
    <cellStyle name="Акцент6" xfId="47" builtinId="49"/>
    <cellStyle name="60% — Акцент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pivotCacheDefinition" Target="pivotCache/pivotCacheDefinition2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ColorStyle" Target="colors1.xml"/><Relationship Id="rId2" Type="http://schemas.microsoft.com/office/2011/relationships/chartStyle" Target="style1.xml"/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ColorStyle" Target="colors2.xml"/><Relationship Id="rId2" Type="http://schemas.microsoft.com/office/2011/relationships/chartStyle" Target="style2.xml"/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343457067867"/>
          <c:y val="0.155952664104586"/>
          <c:w val="0.869877296587927"/>
          <c:h val="0.671457786526684"/>
        </c:manualLayout>
      </c:layout>
      <c:lineChart>
        <c:grouping val="standard"/>
        <c:varyColors val="0"/>
        <c:ser>
          <c:idx val="0"/>
          <c:order val="0"/>
          <c:tx>
            <c:strRef>
              <c:f>График!$A$1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График!$A$2:$A$23</c:f>
              <c:numCache>
                <c:formatCode>General</c:formatCode>
                <c:ptCount val="22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График!$B$1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numRef>
              <c:f>График!$A$2:$A$23</c:f>
              <c:numCache>
                <c:formatCode>General</c:formatCode>
                <c:ptCount val="22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График!$B$2:$B$23</c:f>
              <c:numCache>
                <c:formatCode>General</c:formatCode>
                <c:ptCount val="22"/>
                <c:pt idx="0">
                  <c:v>-5004</c:v>
                </c:pt>
                <c:pt idx="1">
                  <c:v>-3649</c:v>
                </c:pt>
                <c:pt idx="2">
                  <c:v>-2564</c:v>
                </c:pt>
                <c:pt idx="3">
                  <c:v>-1719</c:v>
                </c:pt>
                <c:pt idx="4">
                  <c:v>-1084</c:v>
                </c:pt>
                <c:pt idx="5">
                  <c:v>-629</c:v>
                </c:pt>
                <c:pt idx="6">
                  <c:v>-324</c:v>
                </c:pt>
                <c:pt idx="7">
                  <c:v>-139</c:v>
                </c:pt>
                <c:pt idx="8">
                  <c:v>-44</c:v>
                </c:pt>
                <c:pt idx="9">
                  <c:v>-9</c:v>
                </c:pt>
                <c:pt idx="10">
                  <c:v>-4</c:v>
                </c:pt>
                <c:pt idx="11">
                  <c:v>1</c:v>
                </c:pt>
                <c:pt idx="12">
                  <c:v>36</c:v>
                </c:pt>
                <c:pt idx="13">
                  <c:v>131</c:v>
                </c:pt>
                <c:pt idx="14">
                  <c:v>316</c:v>
                </c:pt>
                <c:pt idx="15">
                  <c:v>621</c:v>
                </c:pt>
                <c:pt idx="16">
                  <c:v>1076</c:v>
                </c:pt>
                <c:pt idx="17">
                  <c:v>1711</c:v>
                </c:pt>
                <c:pt idx="18">
                  <c:v>2556</c:v>
                </c:pt>
                <c:pt idx="19">
                  <c:v>3641</c:v>
                </c:pt>
                <c:pt idx="20">
                  <c:v>4996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3652176"/>
        <c:axId val="1065126784"/>
      </c:lineChart>
      <c:catAx>
        <c:axId val="107365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65126784"/>
        <c:crosses val="autoZero"/>
        <c:auto val="1"/>
        <c:lblAlgn val="ctr"/>
        <c:lblOffset val="100"/>
        <c:noMultiLvlLbl val="0"/>
      </c:catAx>
      <c:valAx>
        <c:axId val="106512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7365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ru-RU"/>
      </a:pPr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138909523102"/>
          <c:y val="0.155952664104586"/>
          <c:w val="0.869877296587927"/>
          <c:h val="0.671457786526684"/>
        </c:manualLayout>
      </c:layout>
      <c:lineChart>
        <c:grouping val="standard"/>
        <c:varyColors val="0"/>
        <c:ser>
          <c:idx val="0"/>
          <c:order val="0"/>
          <c:tx>
            <c:strRef>
              <c:f>График!$A$1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График!$B$1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График!$B$2:$B$22</c:f>
              <c:numCache>
                <c:formatCode>General</c:formatCode>
                <c:ptCount val="21"/>
                <c:pt idx="0">
                  <c:v>-5004</c:v>
                </c:pt>
                <c:pt idx="1">
                  <c:v>-3649</c:v>
                </c:pt>
                <c:pt idx="2">
                  <c:v>-2564</c:v>
                </c:pt>
                <c:pt idx="3">
                  <c:v>-1719</c:v>
                </c:pt>
                <c:pt idx="4">
                  <c:v>-1084</c:v>
                </c:pt>
                <c:pt idx="5">
                  <c:v>-629</c:v>
                </c:pt>
                <c:pt idx="6">
                  <c:v>-324</c:v>
                </c:pt>
                <c:pt idx="7">
                  <c:v>-139</c:v>
                </c:pt>
                <c:pt idx="8">
                  <c:v>-44</c:v>
                </c:pt>
                <c:pt idx="9">
                  <c:v>-9</c:v>
                </c:pt>
                <c:pt idx="10">
                  <c:v>-4</c:v>
                </c:pt>
                <c:pt idx="11">
                  <c:v>1</c:v>
                </c:pt>
                <c:pt idx="12">
                  <c:v>36</c:v>
                </c:pt>
                <c:pt idx="13">
                  <c:v>131</c:v>
                </c:pt>
                <c:pt idx="14">
                  <c:v>316</c:v>
                </c:pt>
                <c:pt idx="15">
                  <c:v>621</c:v>
                </c:pt>
                <c:pt idx="16">
                  <c:v>1076</c:v>
                </c:pt>
                <c:pt idx="17">
                  <c:v>1711</c:v>
                </c:pt>
                <c:pt idx="18">
                  <c:v>2556</c:v>
                </c:pt>
                <c:pt idx="19">
                  <c:v>3641</c:v>
                </c:pt>
                <c:pt idx="20">
                  <c:v>4996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"z"</c:f>
              <c:strCache>
                <c:ptCount val="1"/>
                <c:pt idx="0">
                  <c:v>z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График!$C$2:$C$22</c:f>
              <c:numCache>
                <c:formatCode>General</c:formatCode>
                <c:ptCount val="21"/>
                <c:pt idx="0">
                  <c:v>7700</c:v>
                </c:pt>
                <c:pt idx="1">
                  <c:v>6180</c:v>
                </c:pt>
                <c:pt idx="2">
                  <c:v>4820</c:v>
                </c:pt>
                <c:pt idx="3">
                  <c:v>3620</c:v>
                </c:pt>
                <c:pt idx="4">
                  <c:v>2580</c:v>
                </c:pt>
                <c:pt idx="5">
                  <c:v>1700</c:v>
                </c:pt>
                <c:pt idx="6">
                  <c:v>980</c:v>
                </c:pt>
                <c:pt idx="7">
                  <c:v>420</c:v>
                </c:pt>
                <c:pt idx="8">
                  <c:v>20</c:v>
                </c:pt>
                <c:pt idx="9">
                  <c:v>-220</c:v>
                </c:pt>
                <c:pt idx="10">
                  <c:v>-300</c:v>
                </c:pt>
                <c:pt idx="11">
                  <c:v>-220</c:v>
                </c:pt>
                <c:pt idx="12">
                  <c:v>20</c:v>
                </c:pt>
                <c:pt idx="13">
                  <c:v>420</c:v>
                </c:pt>
                <c:pt idx="14">
                  <c:v>980</c:v>
                </c:pt>
                <c:pt idx="15">
                  <c:v>1700</c:v>
                </c:pt>
                <c:pt idx="16">
                  <c:v>2580</c:v>
                </c:pt>
                <c:pt idx="17">
                  <c:v>3620</c:v>
                </c:pt>
                <c:pt idx="18">
                  <c:v>4820</c:v>
                </c:pt>
                <c:pt idx="19">
                  <c:v>6180</c:v>
                </c:pt>
                <c:pt idx="20">
                  <c:v>7700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073652176"/>
        <c:axId val="1065126784"/>
      </c:lineChart>
      <c:catAx>
        <c:axId val="107365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65126784"/>
        <c:crosses val="autoZero"/>
        <c:auto val="1"/>
        <c:lblAlgn val="ctr"/>
        <c:lblOffset val="100"/>
        <c:noMultiLvlLbl val="0"/>
      </c:catAx>
      <c:valAx>
        <c:axId val="106512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736521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ru-RU"/>
      </a:pPr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129540</xdr:colOff>
          <xdr:row>45</xdr:row>
          <xdr:rowOff>137795</xdr:rowOff>
        </xdr:from>
        <xdr:to>
          <xdr:col>1</xdr:col>
          <xdr:colOff>1356360</xdr:colOff>
          <xdr:row>47</xdr:row>
          <xdr:rowOff>53975</xdr:rowOff>
        </xdr:to>
        <xdr:sp macro="[0]!На_макрос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24840" y="10540365"/>
              <a:ext cx="1226820" cy="43434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 panose="020F0502020204030204"/>
                  <a:cs typeface="Calibri" panose="020F0502020204030204"/>
                </a:rPr>
                <a:t>Макросы</a:t>
              </a:r>
              <a:endParaRPr lang="ru-RU" sz="1200" b="1" i="0" u="none" strike="noStrike" baseline="0">
                <a:solidFill>
                  <a:srgbClr val="0000FF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22</xdr:row>
      <xdr:rowOff>163830</xdr:rowOff>
    </xdr:from>
    <xdr:to>
      <xdr:col>8</xdr:col>
      <xdr:colOff>22860</xdr:colOff>
      <xdr:row>36</xdr:row>
      <xdr:rowOff>0</xdr:rowOff>
    </xdr:to>
    <xdr:graphicFrame>
      <xdr:nvGraphicFramePr>
        <xdr:cNvPr id="2" name="Диаграмма 1"/>
        <xdr:cNvGraphicFramePr/>
      </xdr:nvGraphicFramePr>
      <xdr:xfrm>
        <a:off x="0" y="4187190"/>
        <a:ext cx="6377940" cy="23964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8</xdr:col>
      <xdr:colOff>22860</xdr:colOff>
      <xdr:row>50</xdr:row>
      <xdr:rowOff>19050</xdr:rowOff>
    </xdr:to>
    <xdr:graphicFrame>
      <xdr:nvGraphicFramePr>
        <xdr:cNvPr id="6" name="Диаграмма 5"/>
        <xdr:cNvGraphicFramePr/>
      </xdr:nvGraphicFramePr>
      <xdr:xfrm>
        <a:off x="0" y="6766560"/>
        <a:ext cx="6377940" cy="23964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617220</xdr:colOff>
      <xdr:row>27</xdr:row>
      <xdr:rowOff>30480</xdr:rowOff>
    </xdr:from>
    <xdr:to>
      <xdr:col>3</xdr:col>
      <xdr:colOff>449580</xdr:colOff>
      <xdr:row>28</xdr:row>
      <xdr:rowOff>121920</xdr:rowOff>
    </xdr:to>
    <xdr:sp>
      <xdr:nvSpPr>
        <xdr:cNvPr id="7" name="TextBox 6"/>
        <xdr:cNvSpPr txBox="1"/>
      </xdr:nvSpPr>
      <xdr:spPr>
        <a:xfrm>
          <a:off x="2781300" y="4968240"/>
          <a:ext cx="754380" cy="27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800"/>
            <a:t>(</a:t>
          </a:r>
          <a:r>
            <a:rPr lang="ru-RU" sz="800" b="1"/>
            <a:t>0,</a:t>
          </a:r>
          <a:r>
            <a:rPr lang="ru-RU" sz="800" b="1" baseline="0"/>
            <a:t> 9</a:t>
          </a:r>
          <a:r>
            <a:rPr lang="en-US" sz="800" b="1" baseline="0"/>
            <a:t>3</a:t>
          </a:r>
          <a:r>
            <a:rPr lang="ru-RU" sz="800" b="1" baseline="0"/>
            <a:t>;0</a:t>
          </a:r>
          <a:r>
            <a:rPr lang="ru-RU" sz="800" baseline="0"/>
            <a:t>)</a:t>
          </a:r>
          <a:endParaRPr lang="ru-RU" sz="800"/>
        </a:p>
      </xdr:txBody>
    </xdr:sp>
    <xdr:clientData/>
  </xdr:twoCellAnchor>
  <xdr:twoCellAnchor>
    <xdr:from>
      <xdr:col>2</xdr:col>
      <xdr:colOff>807720</xdr:colOff>
      <xdr:row>25</xdr:row>
      <xdr:rowOff>121920</xdr:rowOff>
    </xdr:from>
    <xdr:to>
      <xdr:col>3</xdr:col>
      <xdr:colOff>464820</xdr:colOff>
      <xdr:row>30</xdr:row>
      <xdr:rowOff>53340</xdr:rowOff>
    </xdr:to>
    <xdr:sp>
      <xdr:nvSpPr>
        <xdr:cNvPr id="8" name="TextBox 7"/>
        <xdr:cNvSpPr txBox="1"/>
      </xdr:nvSpPr>
      <xdr:spPr>
        <a:xfrm>
          <a:off x="2971800" y="4693920"/>
          <a:ext cx="579120" cy="845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5400">
              <a:solidFill>
                <a:srgbClr val="FF0000"/>
              </a:solidFill>
            </a:rPr>
            <a:t>.</a:t>
          </a:r>
          <a:endParaRPr lang="ru-RU" sz="54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512952</xdr:colOff>
      <xdr:row>40</xdr:row>
      <xdr:rowOff>152400</xdr:rowOff>
    </xdr:from>
    <xdr:to>
      <xdr:col>3</xdr:col>
      <xdr:colOff>474852</xdr:colOff>
      <xdr:row>45</xdr:row>
      <xdr:rowOff>99060</xdr:rowOff>
    </xdr:to>
    <xdr:sp>
      <xdr:nvSpPr>
        <xdr:cNvPr id="10" name="TextBox 1"/>
        <xdr:cNvSpPr txBox="1"/>
      </xdr:nvSpPr>
      <xdr:spPr>
        <a:xfrm>
          <a:off x="2676525" y="7467600"/>
          <a:ext cx="883920" cy="861060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5600">
              <a:solidFill>
                <a:srgbClr val="FF0000"/>
              </a:solidFill>
            </a:rPr>
            <a:t>.</a:t>
          </a:r>
          <a:endParaRPr lang="ru-RU" sz="56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</xdr:colOff>
          <xdr:row>5</xdr:row>
          <xdr:rowOff>106680</xdr:rowOff>
        </xdr:from>
        <xdr:to>
          <xdr:col>7</xdr:col>
          <xdr:colOff>0</xdr:colOff>
          <xdr:row>7</xdr:row>
          <xdr:rowOff>175260</xdr:rowOff>
        </xdr:to>
        <xdr:sp macro="[0]!На_макрос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11040" y="1021080"/>
              <a:ext cx="1226820" cy="43434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 panose="020F0502020204030204"/>
                  <a:cs typeface="Calibri" panose="020F0502020204030204"/>
                </a:rPr>
                <a:t>Макросы</a:t>
              </a:r>
              <a:endParaRPr lang="ru-RU" sz="1200" b="1" i="0" u="none" strike="noStrike" baseline="0">
                <a:solidFill>
                  <a:srgbClr val="0000FF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0.38679</cdr:x>
      <cdr:y>0.30922</cdr:y>
    </cdr:from>
    <cdr:to>
      <cdr:x>0.61698</cdr:x>
      <cdr:y>0.41812</cdr:y>
    </cdr:to>
    <cdr:sp>
      <cdr:nvSpPr>
        <cdr:cNvPr id="2" name="Прямоугольник 1"/>
        <cdr:cNvSpPr/>
      </cdr:nvSpPr>
      <cdr:spPr xmlns:a="http://schemas.openxmlformats.org/drawingml/2006/main">
        <a:xfrm xmlns:a="http://schemas.openxmlformats.org/drawingml/2006/main">
          <a:off x="1562100" y="741045"/>
          <a:ext cx="929640" cy="260985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0.38679</cdr:x>
      <cdr:y>0.30922</cdr:y>
    </cdr:from>
    <cdr:to>
      <cdr:x>0.61321</cdr:x>
      <cdr:y>0.69078</cdr:y>
    </cdr:to>
    <cdr:sp>
      <cdr:nvSpPr>
        <cdr:cNvPr id="3" name="Прямоугольник 2"/>
        <cdr:cNvSpPr/>
      </cdr:nvSpPr>
      <cdr:spPr xmlns:a="http://schemas.openxmlformats.org/drawingml/2006/main">
        <a:xfrm xmlns:a="http://schemas.openxmlformats.org/drawingml/2006/main">
          <a:off x="1562100" y="741045"/>
          <a:ext cx="914400" cy="91440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0.42642</cdr:x>
      <cdr:y>0.03021</cdr:y>
    </cdr:from>
    <cdr:to>
      <cdr:x>0.65094</cdr:x>
      <cdr:y>0.18283</cdr:y>
    </cdr:to>
    <cdr:sp>
      <cdr:nvSpPr>
        <cdr:cNvPr id="4" name="Прямоугольник 3"/>
        <cdr:cNvSpPr/>
      </cdr:nvSpPr>
      <cdr:spPr xmlns:a="http://schemas.openxmlformats.org/drawingml/2006/main">
        <a:xfrm xmlns:a="http://schemas.openxmlformats.org/drawingml/2006/main">
          <a:off x="1722120" y="72390"/>
          <a:ext cx="906780" cy="36576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 anchor="ctr"/>
        <a:lstStyle/>
        <a:p>
          <a:r>
            <a:rPr lang="en-US" sz="1100"/>
            <a:t>y=5x</a:t>
          </a:r>
          <a:r>
            <a:rPr lang="en-US" sz="1600" baseline="30000"/>
            <a:t>3</a:t>
          </a:r>
          <a:r>
            <a:rPr lang="en-US" sz="1100"/>
            <a:t>-</a:t>
          </a:r>
          <a:r>
            <a:rPr lang="ru-RU" sz="1100"/>
            <a:t> </a:t>
          </a:r>
          <a:r>
            <a:rPr lang="en-US" sz="1100"/>
            <a:t>4</a:t>
          </a:r>
          <a:endParaRPr lang="ru-RU" sz="1100"/>
        </a:p>
      </cdr:txBody>
    </cdr:sp>
  </cdr:relSizeAnchor>
  <cdr:relSizeAnchor xmlns:cdr="http://schemas.openxmlformats.org/drawingml/2006/chartDrawing">
    <cdr:from>
      <cdr:x>0.54101</cdr:x>
      <cdr:y>0.39269</cdr:y>
    </cdr:from>
    <cdr:to>
      <cdr:x>0.56085</cdr:x>
      <cdr:y>0.4372</cdr:y>
    </cdr:to>
    <cdr:sp>
      <cdr:nvSpPr>
        <cdr:cNvPr id="5" name="Прямоугольник 4"/>
        <cdr:cNvSpPr/>
      </cdr:nvSpPr>
      <cdr:spPr xmlns:a="http://schemas.openxmlformats.org/drawingml/2006/main">
        <a:xfrm xmlns:a="http://schemas.openxmlformats.org/drawingml/2006/main">
          <a:off x="3116580" y="941070"/>
          <a:ext cx="114300" cy="10668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0.42063</cdr:x>
      <cdr:y>0.30922</cdr:y>
    </cdr:from>
    <cdr:to>
      <cdr:x>0.57937</cdr:x>
      <cdr:y>0.69078</cdr:y>
    </cdr:to>
    <cdr:sp>
      <cdr:nvSpPr>
        <cdr:cNvPr id="6" name="Прямоугольник 5"/>
        <cdr:cNvSpPr/>
      </cdr:nvSpPr>
      <cdr:spPr xmlns:a="http://schemas.openxmlformats.org/drawingml/2006/main">
        <a:xfrm xmlns:a="http://schemas.openxmlformats.org/drawingml/2006/main">
          <a:off x="2423160" y="741045"/>
          <a:ext cx="914400" cy="91440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0.47751</cdr:x>
      <cdr:y>0.22973</cdr:y>
    </cdr:from>
    <cdr:to>
      <cdr:x>0.63624</cdr:x>
      <cdr:y>0.61129</cdr:y>
    </cdr:to>
    <cdr:sp>
      <cdr:nvSpPr>
        <cdr:cNvPr id="7" name="Прямоугольник 6"/>
        <cdr:cNvSpPr/>
      </cdr:nvSpPr>
      <cdr:spPr xmlns:a="http://schemas.openxmlformats.org/drawingml/2006/main">
        <a:xfrm xmlns:a="http://schemas.openxmlformats.org/drawingml/2006/main">
          <a:off x="2750820" y="550545"/>
          <a:ext cx="914400" cy="91440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0.38679</cdr:x>
      <cdr:y>0.30922</cdr:y>
    </cdr:from>
    <cdr:to>
      <cdr:x>0.61698</cdr:x>
      <cdr:y>0.41812</cdr:y>
    </cdr:to>
    <cdr:sp>
      <cdr:nvSpPr>
        <cdr:cNvPr id="2" name="Прямоугольник 1"/>
        <cdr:cNvSpPr/>
      </cdr:nvSpPr>
      <cdr:spPr xmlns:a="http://schemas.openxmlformats.org/drawingml/2006/main">
        <a:xfrm xmlns:a="http://schemas.openxmlformats.org/drawingml/2006/main">
          <a:off x="1562100" y="741045"/>
          <a:ext cx="929640" cy="260985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0.38679</cdr:x>
      <cdr:y>0.30922</cdr:y>
    </cdr:from>
    <cdr:to>
      <cdr:x>0.61321</cdr:x>
      <cdr:y>0.69078</cdr:y>
    </cdr:to>
    <cdr:sp>
      <cdr:nvSpPr>
        <cdr:cNvPr id="3" name="Прямоугольник 2"/>
        <cdr:cNvSpPr/>
      </cdr:nvSpPr>
      <cdr:spPr xmlns:a="http://schemas.openxmlformats.org/drawingml/2006/main">
        <a:xfrm xmlns:a="http://schemas.openxmlformats.org/drawingml/2006/main">
          <a:off x="1562100" y="741045"/>
          <a:ext cx="914400" cy="91440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0.37302</cdr:x>
      <cdr:y>0.02226</cdr:y>
    </cdr:from>
    <cdr:to>
      <cdr:x>0.67857</cdr:x>
      <cdr:y>0.10811</cdr:y>
    </cdr:to>
    <cdr:sp>
      <cdr:nvSpPr>
        <cdr:cNvPr id="4" name="Прямоугольник 3"/>
        <cdr:cNvSpPr/>
      </cdr:nvSpPr>
      <cdr:spPr xmlns:a="http://schemas.openxmlformats.org/drawingml/2006/main">
        <a:xfrm xmlns:a="http://schemas.openxmlformats.org/drawingml/2006/main">
          <a:off x="2148840" y="53340"/>
          <a:ext cx="1760220" cy="20574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0.39021</cdr:x>
      <cdr:y>0.09857</cdr:y>
    </cdr:from>
    <cdr:to>
      <cdr:x>0.64286</cdr:x>
      <cdr:y>0.19078</cdr:y>
    </cdr:to>
    <cdr:sp>
      <cdr:nvSpPr>
        <cdr:cNvPr id="5" name="Прямоугольник 4"/>
        <cdr:cNvSpPr/>
      </cdr:nvSpPr>
      <cdr:spPr xmlns:a="http://schemas.openxmlformats.org/drawingml/2006/main">
        <a:xfrm xmlns:a="http://schemas.openxmlformats.org/drawingml/2006/main">
          <a:off x="2247900" y="236220"/>
          <a:ext cx="1455420" cy="22098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sz="1100">
              <a:effectLst/>
              <a:latin typeface="+mn-lt"/>
              <a:ea typeface="+mn-ea"/>
              <a:cs typeface="+mn-cs"/>
            </a:rPr>
            <a:t>y=5x</a:t>
          </a:r>
          <a:r>
            <a:rPr lang="en-US" sz="1100" baseline="30000"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effectLst/>
              <a:latin typeface="+mn-lt"/>
              <a:ea typeface="+mn-ea"/>
              <a:cs typeface="+mn-cs"/>
            </a:rPr>
            <a:t>-</a:t>
          </a:r>
          <a:r>
            <a:rPr lang="ru-RU" sz="1100"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effectLst/>
              <a:latin typeface="+mn-lt"/>
              <a:ea typeface="+mn-ea"/>
              <a:cs typeface="+mn-cs"/>
            </a:rPr>
            <a:t>4,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 z=80x</a:t>
          </a:r>
          <a:r>
            <a:rPr lang="en-US" sz="1100" baseline="30000">
              <a:effectLst/>
              <a:latin typeface="+mn-lt"/>
              <a:ea typeface="+mn-ea"/>
              <a:cs typeface="+mn-cs"/>
            </a:rPr>
            <a:t>2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-300</a:t>
          </a:r>
          <a:endParaRPr lang="ru-RU">
            <a:effectLst/>
          </a:endParaRPr>
        </a:p>
        <a:p>
          <a:endParaRPr lang="ru-RU" sz="1100"/>
        </a:p>
      </cdr:txBody>
    </cdr:sp>
  </cdr:relSizeAnchor>
  <cdr:relSizeAnchor xmlns:cdr="http://schemas.openxmlformats.org/drawingml/2006/chartDrawing">
    <cdr:from>
      <cdr:x>0.43254</cdr:x>
      <cdr:y>0.39746</cdr:y>
    </cdr:from>
    <cdr:to>
      <cdr:x>0.55423</cdr:x>
      <cdr:y>0.52146</cdr:y>
    </cdr:to>
    <cdr:sp>
      <cdr:nvSpPr>
        <cdr:cNvPr id="6" name="Прямоугольник 5"/>
        <cdr:cNvSpPr/>
      </cdr:nvSpPr>
      <cdr:spPr xmlns:a="http://schemas.openxmlformats.org/drawingml/2006/main">
        <a:xfrm xmlns:a="http://schemas.openxmlformats.org/drawingml/2006/main">
          <a:off x="2491740" y="952500"/>
          <a:ext cx="701040" cy="29718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r>
            <a:rPr lang="en-US" sz="1100"/>
            <a:t>(-1,82;0)</a:t>
          </a:r>
          <a:endParaRPr lang="ru-RU" sz="1100"/>
        </a:p>
      </cdr:txBody>
    </cdr:sp>
  </cdr:relSizeAnchor>
  <cdr:relSizeAnchor xmlns:cdr="http://schemas.openxmlformats.org/drawingml/2006/chartDrawing">
    <cdr:from>
      <cdr:x>0.56746</cdr:x>
      <cdr:y>0.43879</cdr:y>
    </cdr:from>
    <cdr:to>
      <cdr:x>0.71164</cdr:x>
      <cdr:y>0.58824</cdr:y>
    </cdr:to>
    <cdr:sp>
      <cdr:nvSpPr>
        <cdr:cNvPr id="7" name="Прямоугольник 6"/>
        <cdr:cNvSpPr/>
      </cdr:nvSpPr>
      <cdr:spPr xmlns:a="http://schemas.openxmlformats.org/drawingml/2006/main">
        <a:xfrm xmlns:a="http://schemas.openxmlformats.org/drawingml/2006/main">
          <a:off x="3268980" y="1051560"/>
          <a:ext cx="830580" cy="35814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0.56614</cdr:x>
      <cdr:y>0.39746</cdr:y>
    </cdr:from>
    <cdr:to>
      <cdr:x>0.72487</cdr:x>
      <cdr:y>0.53418</cdr:y>
    </cdr:to>
    <cdr:sp>
      <cdr:nvSpPr>
        <cdr:cNvPr id="8" name="Прямоугольник 7"/>
        <cdr:cNvSpPr/>
      </cdr:nvSpPr>
      <cdr:spPr xmlns:a="http://schemas.openxmlformats.org/drawingml/2006/main">
        <a:xfrm xmlns:a="http://schemas.openxmlformats.org/drawingml/2006/main">
          <a:off x="3261360" y="952500"/>
          <a:ext cx="914400" cy="32766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none" rtlCol="0"/>
        <a:lstStyle/>
        <a:p>
          <a:r>
            <a:rPr lang="en-US" sz="1100"/>
            <a:t>(2,06;</a:t>
          </a:r>
          <a:r>
            <a:rPr lang="en-US" sz="1100" baseline="0"/>
            <a:t> 0)</a:t>
          </a:r>
          <a:endParaRPr lang="ru-RU" sz="1100"/>
        </a:p>
      </cdr:txBody>
    </cdr:sp>
  </cdr:relSizeAnchor>
  <cdr:relSizeAnchor xmlns:cdr="http://schemas.openxmlformats.org/drawingml/2006/chartDrawing">
    <cdr:from>
      <cdr:x>0.59392</cdr:x>
      <cdr:y>0.28617</cdr:y>
    </cdr:from>
    <cdr:to>
      <cdr:x>0.74735</cdr:x>
      <cdr:y>0.64547</cdr:y>
    </cdr:to>
    <cdr:sp>
      <cdr:nvSpPr>
        <cdr:cNvPr id="9" name="Прямоугольник 8"/>
        <cdr:cNvSpPr/>
      </cdr:nvSpPr>
      <cdr:spPr xmlns:a="http://schemas.openxmlformats.org/drawingml/2006/main">
        <a:xfrm xmlns:a="http://schemas.openxmlformats.org/drawingml/2006/main">
          <a:off x="3421380" y="685800"/>
          <a:ext cx="883920" cy="861060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r>
            <a:rPr lang="en-US" sz="5600">
              <a:solidFill>
                <a:srgbClr val="FF0000"/>
              </a:solidFill>
            </a:rPr>
            <a:t>.</a:t>
          </a:r>
          <a:endParaRPr lang="ru-RU" sz="5600">
            <a:solidFill>
              <a:srgbClr val="FF0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</xdr:colOff>
          <xdr:row>18</xdr:row>
          <xdr:rowOff>170180</xdr:rowOff>
        </xdr:from>
        <xdr:to>
          <xdr:col>4</xdr:col>
          <xdr:colOff>1244600</xdr:colOff>
          <xdr:row>21</xdr:row>
          <xdr:rowOff>60960</xdr:rowOff>
        </xdr:to>
        <xdr:sp macro="[0]!На_макрос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4998720" y="3500120"/>
              <a:ext cx="1229360" cy="44894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 panose="020F0502020204030204"/>
                  <a:cs typeface="Calibri" panose="020F0502020204030204"/>
                </a:rPr>
                <a:t>Макросы</a:t>
              </a:r>
              <a:endParaRPr lang="ru-RU" sz="1200" b="1" i="0" u="none" strike="noStrike" baseline="0">
                <a:solidFill>
                  <a:srgbClr val="0000FF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</xdr:colOff>
          <xdr:row>5</xdr:row>
          <xdr:rowOff>60960</xdr:rowOff>
        </xdr:from>
        <xdr:to>
          <xdr:col>2</xdr:col>
          <xdr:colOff>609600</xdr:colOff>
          <xdr:row>7</xdr:row>
          <xdr:rowOff>175260</xdr:rowOff>
        </xdr:to>
        <xdr:sp macro="[0]!на_график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632460" y="975360"/>
              <a:ext cx="1211580" cy="48006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 panose="020F0502020204030204"/>
                  <a:cs typeface="Calibri" panose="020F0502020204030204"/>
                </a:rPr>
                <a:t>График</a:t>
              </a:r>
              <a:endParaRPr lang="ru-RU" sz="1200" b="1" i="0" u="none" strike="noStrike" baseline="0">
                <a:solidFill>
                  <a:srgbClr val="0000FF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</xdr:colOff>
          <xdr:row>9</xdr:row>
          <xdr:rowOff>60960</xdr:rowOff>
        </xdr:from>
        <xdr:to>
          <xdr:col>3</xdr:col>
          <xdr:colOff>7620</xdr:colOff>
          <xdr:row>12</xdr:row>
          <xdr:rowOff>0</xdr:rowOff>
        </xdr:to>
        <xdr:sp macro="[0]!На_подбор_параметра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624840" y="1706880"/>
              <a:ext cx="1234440" cy="48768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 panose="020F0502020204030204"/>
                  <a:cs typeface="Calibri" panose="020F0502020204030204"/>
                </a:rPr>
                <a:t>Подбор параметра</a:t>
              </a:r>
              <a:endParaRPr lang="ru-RU" sz="1200" b="1" i="0" u="none" strike="noStrike" baseline="0">
                <a:solidFill>
                  <a:srgbClr val="0000FF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167640</xdr:rowOff>
        </xdr:from>
        <xdr:to>
          <xdr:col>2</xdr:col>
          <xdr:colOff>601980</xdr:colOff>
          <xdr:row>4</xdr:row>
          <xdr:rowOff>60960</xdr:rowOff>
        </xdr:to>
        <xdr:sp macro="[0]!На_сводную_таблицу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617220" y="350520"/>
              <a:ext cx="1219200" cy="44196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 panose="020F0502020204030204"/>
                  <a:cs typeface="Calibri" panose="020F0502020204030204"/>
                </a:rPr>
                <a:t>На сводную таблицу</a:t>
              </a:r>
              <a:endParaRPr lang="ru-RU" sz="1200" b="1" i="0" u="none" strike="noStrike" baseline="0">
                <a:solidFill>
                  <a:srgbClr val="0000FF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5233.9220949074" refreshedBy="вольвокс" recordCount="30">
  <cacheSource type="worksheet">
    <worksheetSource ref="A1:F31" sheet="Сводная Таблица"/>
  </cacheSource>
  <cacheFields count="6">
    <cacheField name="ID заказа" numFmtId="0">
      <sharedItems count="30">
        <s v="0018"/>
        <s v="0019"/>
        <s v="0020"/>
        <s v="0021"/>
        <s v="0022"/>
        <s v="0023"/>
        <s v="0024"/>
        <s v="0025"/>
        <s v="0026"/>
        <s v="0027"/>
        <s v="0028"/>
        <s v="0029"/>
        <s v="0030"/>
        <s v="0031"/>
        <s v="0032"/>
        <s v="0033"/>
        <s v="0034"/>
        <s v="0035"/>
        <s v="0036"/>
        <s v="0037"/>
        <s v="0038"/>
        <s v="0039"/>
        <s v="0040"/>
        <s v="0041"/>
        <s v="0042"/>
        <s v="0043"/>
        <s v="0044"/>
        <s v="0045"/>
        <s v="0046"/>
        <s v="0047"/>
      </sharedItems>
    </cacheField>
    <cacheField name="Дата выполнения" numFmtId="0">
      <sharedItems count="26">
        <s v="05.авг"/>
        <s v="03.сен"/>
        <s v="02.июл"/>
        <s v="17.июл"/>
        <s v="05.май"/>
        <s v="16.авг"/>
        <s v="22.сен"/>
        <s v="10.июл"/>
        <s v="15.авг"/>
        <s v="15.сен"/>
        <s v="12.сен"/>
        <s v="20.авг"/>
        <s v="22.июл"/>
        <s v="24.авг"/>
        <s v="25.авг"/>
        <s v="08.авг"/>
        <s v="09.авг"/>
        <s v="10.сен"/>
        <s v="14.сен"/>
        <s v="29.авг"/>
        <s v="24.июл"/>
        <s v="22.авг"/>
        <s v="17.авг"/>
        <s v="20.сен"/>
        <s v="18.авг"/>
        <s v="13.июл"/>
      </sharedItems>
    </cacheField>
    <cacheField name="Студент" numFmtId="0">
      <sharedItems count="8">
        <s v="Иванов"/>
        <s v="Троекуров"/>
        <s v="Сидоров"/>
        <s v="Петренко"/>
        <s v="Деточкин"/>
        <s v="Аванесов"/>
        <s v="Рыков"/>
        <s v="Лосев"/>
      </sharedItems>
    </cacheField>
    <cacheField name="Наименование работы" numFmtId="0">
      <sharedItems count="4">
        <s v="Тестирование ПО"/>
        <s v="Разработка алгоритма"/>
        <s v="Программирование"/>
        <s v="Внедрение ПО"/>
      </sharedItems>
    </cacheField>
    <cacheField name="Город" numFmtId="0">
      <sharedItems count="5">
        <s v="Краснодар"/>
        <s v="Саратов"/>
        <s v="Иваново"/>
        <s v="Волгоград"/>
        <s v="Астрахань"/>
      </sharedItems>
    </cacheField>
    <cacheField name="Сумма" numFmtId="0">
      <sharedItems count="17">
        <s v="500,00р."/>
        <s v="1 000,00р."/>
        <s v="2 500,00р."/>
        <s v="300,00р."/>
        <s v="6 000,00р."/>
        <s v="400,00р."/>
        <s v="4 300,00р."/>
        <s v="200,00р."/>
        <s v="7 010,00р."/>
        <s v="250,00р."/>
        <s v="630,00р."/>
        <s v="9 500,00р."/>
        <s v="8 400,00р."/>
        <s v="4 800,00р."/>
        <s v="2 480,00р."/>
        <s v="1 540,00р."/>
        <s v="1 750,00р.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5233.9450925926" refreshedBy="вольвокс" recordCount="30">
  <cacheSource type="worksheet">
    <worksheetSource ref="B1:F31" sheet="Сводная Таблица"/>
  </cacheSource>
  <cacheFields count="5">
    <cacheField name="Дата выполнения" numFmtId="0">
      <sharedItems count="26">
        <s v="05.авг"/>
        <s v="03.сен"/>
        <s v="02.июл"/>
        <s v="17.июл"/>
        <s v="05.май"/>
        <s v="16.авг"/>
        <s v="22.сен"/>
        <s v="10.июл"/>
        <s v="15.авг"/>
        <s v="15.сен"/>
        <s v="12.сен"/>
        <s v="20.авг"/>
        <s v="22.июл"/>
        <s v="24.авг"/>
        <s v="25.авг"/>
        <s v="08.авг"/>
        <s v="09.авг"/>
        <s v="10.сен"/>
        <s v="14.сен"/>
        <s v="29.авг"/>
        <s v="24.июл"/>
        <s v="22.авг"/>
        <s v="17.авг"/>
        <s v="20.сен"/>
        <s v="18.авг"/>
        <s v="13.июл"/>
      </sharedItems>
    </cacheField>
    <cacheField name="Студент" numFmtId="0">
      <sharedItems count="8">
        <s v="Иванов"/>
        <s v="Троекуров"/>
        <s v="Сидоров"/>
        <s v="Петренко"/>
        <s v="Деточкин"/>
        <s v="Аванесов"/>
        <s v="Рыков"/>
        <s v="Лосев"/>
      </sharedItems>
    </cacheField>
    <cacheField name="Наименование работы" numFmtId="0">
      <sharedItems count="4">
        <s v="Тестирование ПО"/>
        <s v="Разработка алгоритма"/>
        <s v="Программирование"/>
        <s v="Внедрение ПО"/>
      </sharedItems>
    </cacheField>
    <cacheField name="Город" numFmtId="0">
      <sharedItems count="5">
        <s v="Краснодар"/>
        <s v="Саратов"/>
        <s v="Иваново"/>
        <s v="Волгоград"/>
        <s v="Астрахань"/>
      </sharedItems>
    </cacheField>
    <cacheField name="Сумма" numFmtId="0">
      <sharedItems count="17">
        <s v="500,00р."/>
        <s v="1 000,00р."/>
        <s v="2 500,00р."/>
        <s v="300,00р."/>
        <s v="6 000,00р."/>
        <s v="400,00р."/>
        <s v="4 300,00р."/>
        <s v="200,00р."/>
        <s v="7 010,00р."/>
        <s v="250,00р."/>
        <s v="630,00р."/>
        <s v="9 500,00р."/>
        <s v="8 400,00р."/>
        <s v="4 800,00р."/>
        <s v="2 480,00р."/>
        <s v="1 540,00р."/>
        <s v="1 750,00р.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x v="0"/>
    <x v="0"/>
    <x v="0"/>
    <x v="0"/>
  </r>
  <r>
    <x v="1"/>
    <x v="1"/>
    <x v="1"/>
    <x v="1"/>
    <x v="1"/>
    <x v="1"/>
  </r>
  <r>
    <x v="2"/>
    <x v="2"/>
    <x v="2"/>
    <x v="0"/>
    <x v="2"/>
    <x v="2"/>
  </r>
  <r>
    <x v="3"/>
    <x v="3"/>
    <x v="3"/>
    <x v="0"/>
    <x v="3"/>
    <x v="3"/>
  </r>
  <r>
    <x v="4"/>
    <x v="4"/>
    <x v="3"/>
    <x v="1"/>
    <x v="4"/>
    <x v="4"/>
  </r>
  <r>
    <x v="5"/>
    <x v="5"/>
    <x v="2"/>
    <x v="1"/>
    <x v="1"/>
    <x v="2"/>
  </r>
  <r>
    <x v="6"/>
    <x v="6"/>
    <x v="4"/>
    <x v="2"/>
    <x v="4"/>
    <x v="5"/>
  </r>
  <r>
    <x v="7"/>
    <x v="7"/>
    <x v="4"/>
    <x v="2"/>
    <x v="4"/>
    <x v="6"/>
  </r>
  <r>
    <x v="8"/>
    <x v="8"/>
    <x v="5"/>
    <x v="2"/>
    <x v="2"/>
    <x v="7"/>
  </r>
  <r>
    <x v="9"/>
    <x v="9"/>
    <x v="5"/>
    <x v="1"/>
    <x v="3"/>
    <x v="8"/>
  </r>
  <r>
    <x v="10"/>
    <x v="10"/>
    <x v="2"/>
    <x v="1"/>
    <x v="3"/>
    <x v="9"/>
  </r>
  <r>
    <x v="11"/>
    <x v="11"/>
    <x v="2"/>
    <x v="0"/>
    <x v="1"/>
    <x v="10"/>
  </r>
  <r>
    <x v="12"/>
    <x v="12"/>
    <x v="3"/>
    <x v="3"/>
    <x v="2"/>
    <x v="11"/>
  </r>
  <r>
    <x v="13"/>
    <x v="13"/>
    <x v="1"/>
    <x v="3"/>
    <x v="1"/>
    <x v="12"/>
  </r>
  <r>
    <x v="14"/>
    <x v="14"/>
    <x v="1"/>
    <x v="0"/>
    <x v="2"/>
    <x v="9"/>
  </r>
  <r>
    <x v="15"/>
    <x v="13"/>
    <x v="0"/>
    <x v="0"/>
    <x v="2"/>
    <x v="13"/>
  </r>
  <r>
    <x v="16"/>
    <x v="15"/>
    <x v="0"/>
    <x v="2"/>
    <x v="4"/>
    <x v="14"/>
  </r>
  <r>
    <x v="17"/>
    <x v="16"/>
    <x v="0"/>
    <x v="3"/>
    <x v="4"/>
    <x v="3"/>
  </r>
  <r>
    <x v="18"/>
    <x v="17"/>
    <x v="2"/>
    <x v="0"/>
    <x v="3"/>
    <x v="15"/>
  </r>
  <r>
    <x v="19"/>
    <x v="18"/>
    <x v="6"/>
    <x v="3"/>
    <x v="1"/>
    <x v="16"/>
  </r>
  <r>
    <x v="20"/>
    <x v="19"/>
    <x v="5"/>
    <x v="3"/>
    <x v="2"/>
    <x v="7"/>
  </r>
  <r>
    <x v="21"/>
    <x v="20"/>
    <x v="2"/>
    <x v="2"/>
    <x v="3"/>
    <x v="8"/>
  </r>
  <r>
    <x v="22"/>
    <x v="8"/>
    <x v="6"/>
    <x v="2"/>
    <x v="4"/>
    <x v="9"/>
  </r>
  <r>
    <x v="23"/>
    <x v="11"/>
    <x v="7"/>
    <x v="1"/>
    <x v="1"/>
    <x v="10"/>
  </r>
  <r>
    <x v="24"/>
    <x v="21"/>
    <x v="7"/>
    <x v="1"/>
    <x v="2"/>
    <x v="11"/>
  </r>
  <r>
    <x v="25"/>
    <x v="22"/>
    <x v="1"/>
    <x v="1"/>
    <x v="2"/>
    <x v="1"/>
  </r>
  <r>
    <x v="26"/>
    <x v="23"/>
    <x v="7"/>
    <x v="0"/>
    <x v="1"/>
    <x v="2"/>
  </r>
  <r>
    <x v="27"/>
    <x v="24"/>
    <x v="6"/>
    <x v="3"/>
    <x v="4"/>
    <x v="3"/>
  </r>
  <r>
    <x v="28"/>
    <x v="25"/>
    <x v="0"/>
    <x v="0"/>
    <x v="4"/>
    <x v="4"/>
  </r>
  <r>
    <x v="29"/>
    <x v="7"/>
    <x v="2"/>
    <x v="1"/>
    <x v="3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">
  <r>
    <x v="0"/>
    <x v="0"/>
    <x v="0"/>
    <x v="0"/>
    <x v="0"/>
  </r>
  <r>
    <x v="1"/>
    <x v="1"/>
    <x v="1"/>
    <x v="1"/>
    <x v="1"/>
  </r>
  <r>
    <x v="2"/>
    <x v="2"/>
    <x v="0"/>
    <x v="2"/>
    <x v="2"/>
  </r>
  <r>
    <x v="3"/>
    <x v="3"/>
    <x v="0"/>
    <x v="3"/>
    <x v="3"/>
  </r>
  <r>
    <x v="4"/>
    <x v="3"/>
    <x v="1"/>
    <x v="4"/>
    <x v="4"/>
  </r>
  <r>
    <x v="5"/>
    <x v="2"/>
    <x v="1"/>
    <x v="1"/>
    <x v="2"/>
  </r>
  <r>
    <x v="6"/>
    <x v="4"/>
    <x v="2"/>
    <x v="4"/>
    <x v="5"/>
  </r>
  <r>
    <x v="7"/>
    <x v="4"/>
    <x v="2"/>
    <x v="4"/>
    <x v="6"/>
  </r>
  <r>
    <x v="8"/>
    <x v="5"/>
    <x v="2"/>
    <x v="2"/>
    <x v="7"/>
  </r>
  <r>
    <x v="9"/>
    <x v="5"/>
    <x v="1"/>
    <x v="3"/>
    <x v="8"/>
  </r>
  <r>
    <x v="10"/>
    <x v="2"/>
    <x v="1"/>
    <x v="3"/>
    <x v="9"/>
  </r>
  <r>
    <x v="11"/>
    <x v="2"/>
    <x v="0"/>
    <x v="1"/>
    <x v="10"/>
  </r>
  <r>
    <x v="12"/>
    <x v="3"/>
    <x v="3"/>
    <x v="2"/>
    <x v="11"/>
  </r>
  <r>
    <x v="13"/>
    <x v="1"/>
    <x v="3"/>
    <x v="1"/>
    <x v="12"/>
  </r>
  <r>
    <x v="14"/>
    <x v="1"/>
    <x v="0"/>
    <x v="2"/>
    <x v="9"/>
  </r>
  <r>
    <x v="13"/>
    <x v="0"/>
    <x v="0"/>
    <x v="2"/>
    <x v="13"/>
  </r>
  <r>
    <x v="15"/>
    <x v="0"/>
    <x v="2"/>
    <x v="4"/>
    <x v="14"/>
  </r>
  <r>
    <x v="16"/>
    <x v="0"/>
    <x v="3"/>
    <x v="4"/>
    <x v="3"/>
  </r>
  <r>
    <x v="17"/>
    <x v="2"/>
    <x v="0"/>
    <x v="3"/>
    <x v="15"/>
  </r>
  <r>
    <x v="18"/>
    <x v="6"/>
    <x v="3"/>
    <x v="1"/>
    <x v="16"/>
  </r>
  <r>
    <x v="19"/>
    <x v="5"/>
    <x v="3"/>
    <x v="2"/>
    <x v="7"/>
  </r>
  <r>
    <x v="20"/>
    <x v="2"/>
    <x v="2"/>
    <x v="3"/>
    <x v="8"/>
  </r>
  <r>
    <x v="8"/>
    <x v="6"/>
    <x v="2"/>
    <x v="4"/>
    <x v="9"/>
  </r>
  <r>
    <x v="11"/>
    <x v="7"/>
    <x v="1"/>
    <x v="1"/>
    <x v="10"/>
  </r>
  <r>
    <x v="21"/>
    <x v="7"/>
    <x v="1"/>
    <x v="2"/>
    <x v="11"/>
  </r>
  <r>
    <x v="22"/>
    <x v="1"/>
    <x v="1"/>
    <x v="2"/>
    <x v="1"/>
  </r>
  <r>
    <x v="23"/>
    <x v="7"/>
    <x v="0"/>
    <x v="1"/>
    <x v="2"/>
  </r>
  <r>
    <x v="24"/>
    <x v="6"/>
    <x v="3"/>
    <x v="4"/>
    <x v="3"/>
  </r>
  <r>
    <x v="25"/>
    <x v="0"/>
    <x v="0"/>
    <x v="4"/>
    <x v="4"/>
  </r>
  <r>
    <x v="7"/>
    <x v="2"/>
    <x v="1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Сводная _x000a_таблица5" cacheId="0" autoFormatId="1" applyNumberFormats="0" applyBorderFormats="0" applyFontFormats="0" applyPatternFormats="0" applyAlignmentFormats="0" applyWidthHeightFormats="1" dataCaption="Значения" updatedVersion="5" minRefreshableVersion="3" createdVersion="5" useAutoFormatting="1" compact="0" indent="0" outline="1" compactData="0" outlineData="1" showDrill="1" multipleFieldFilters="0">
  <location ref="K1:T7" firstHeaderRow="1" firstDataRow="2" firstDataCol="1"/>
  <pivotFields count="6">
    <pivotField compact="0" showAll="0"/>
    <pivotField compact="0" showAll="0"/>
    <pivotField axis="axisCol" compact="0" showAll="0">
      <items count="9">
        <item x="5"/>
        <item x="4"/>
        <item x="0"/>
        <item x="7"/>
        <item x="3"/>
        <item x="6"/>
        <item x="2"/>
        <item x="1"/>
        <item t="default"/>
      </items>
    </pivotField>
    <pivotField axis="axisRow" compact="0" showAll="0">
      <items count="5">
        <item x="3"/>
        <item x="2"/>
        <item x="1"/>
        <item x="0"/>
        <item t="default"/>
      </items>
    </pivotField>
    <pivotField compact="0" showAll="0"/>
    <pivotField dataField="1" compact="0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Количество Сумма" fld="5" subtotal="count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 _x000a_таблица7" cacheId="1" autoFormatId="1" applyNumberFormats="0" applyBorderFormats="0" applyFontFormats="0" applyPatternFormats="0" applyAlignmentFormats="0" applyWidthHeightFormats="1" dataCaption="Значения" updatedVersion="5" minRefreshableVersion="3" createdVersion="5" useAutoFormatting="1" compact="0" indent="0" outline="1" compactData="0" outlineData="1" showDrill="1" multipleFieldFilters="0">
  <location ref="H1:J30" firstHeaderRow="1" firstDataRow="1" firstDataCol="2"/>
  <pivotFields count="5">
    <pivotField compact="0" showAll="0"/>
    <pivotField axis="axisRow" compact="0" showAll="0">
      <items count="9">
        <item x="5"/>
        <item x="4"/>
        <item x="0"/>
        <item x="7"/>
        <item x="3"/>
        <item x="6"/>
        <item x="2"/>
        <item x="1"/>
        <item t="default"/>
      </items>
    </pivotField>
    <pivotField axis="axisRow" compact="0" showAll="0">
      <items count="5">
        <item x="3"/>
        <item x="2"/>
        <item x="1"/>
        <item x="0"/>
        <item t="default"/>
      </items>
    </pivotField>
    <pivotField compact="0" showAll="0"/>
    <pivotField dataField="1" compact="0" showAll="0"/>
  </pivotFields>
  <rowFields count="2">
    <field x="1"/>
    <field x="2"/>
  </rowFields>
  <rowItems count="29">
    <i>
      <x/>
    </i>
    <i r="1">
      <x/>
    </i>
    <i r="1">
      <x v="1"/>
    </i>
    <i r="1">
      <x v="2"/>
    </i>
    <i>
      <x v="1"/>
    </i>
    <i r="1">
      <x v="1"/>
    </i>
    <i>
      <x v="2"/>
    </i>
    <i r="1">
      <x/>
    </i>
    <i r="1">
      <x v="1"/>
    </i>
    <i r="1">
      <x v="3"/>
    </i>
    <i>
      <x v="3"/>
    </i>
    <i r="1">
      <x v="2"/>
    </i>
    <i r="1">
      <x v="3"/>
    </i>
    <i>
      <x v="4"/>
    </i>
    <i r="1">
      <x/>
    </i>
    <i r="1">
      <x v="2"/>
    </i>
    <i r="1">
      <x v="3"/>
    </i>
    <i>
      <x v="5"/>
    </i>
    <i r="1">
      <x/>
    </i>
    <i r="1">
      <x v="1"/>
    </i>
    <i>
      <x v="6"/>
    </i>
    <i r="1">
      <x v="1"/>
    </i>
    <i r="1">
      <x v="2"/>
    </i>
    <i r="1">
      <x v="3"/>
    </i>
    <i>
      <x v="7"/>
    </i>
    <i r="1">
      <x/>
    </i>
    <i r="1">
      <x v="2"/>
    </i>
    <i r="1">
      <x v="3"/>
    </i>
    <i t="grand">
      <x/>
    </i>
  </rowItems>
  <colItems count="1">
    <i/>
  </colItems>
  <dataFields count="1">
    <dataField name="Количество Сумма" fld="4" subtotal="count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"/>
  <dimension ref="A1:T73"/>
  <sheetViews>
    <sheetView zoomScale="50" zoomScaleNormal="50" topLeftCell="A34" workbookViewId="0">
      <selection activeCell="G3" sqref="G3"/>
    </sheetView>
  </sheetViews>
  <sheetFormatPr defaultColWidth="8.88888888888889" defaultRowHeight="14.4"/>
  <cols>
    <col min="1" max="1" width="7.22222222222222" customWidth="1"/>
    <col min="2" max="2" width="39.6666666666667" customWidth="1"/>
    <col min="3" max="3" width="23.8888888888889" customWidth="1"/>
    <col min="4" max="4" width="20" customWidth="1"/>
    <col min="5" max="5" width="28.5555555555556" customWidth="1"/>
    <col min="6" max="6" width="24.4444444444444" customWidth="1"/>
    <col min="7" max="7" width="19.3333333333333" customWidth="1"/>
    <col min="8" max="8" width="18.3333333333333" customWidth="1"/>
    <col min="9" max="9" width="22.1111111111111" customWidth="1"/>
    <col min="10" max="10" width="24" customWidth="1"/>
    <col min="11" max="11" width="38.6666666666667" customWidth="1"/>
    <col min="13" max="13" width="18.4444444444444" customWidth="1"/>
    <col min="14" max="14" width="30.7777777777778" customWidth="1"/>
    <col min="15" max="15" width="17.2222222222222" customWidth="1"/>
    <col min="16" max="16" width="39.6666666666667" customWidth="1"/>
    <col min="17" max="17" width="17.8888888888889" customWidth="1"/>
    <col min="18" max="18" width="17" customWidth="1"/>
  </cols>
  <sheetData>
    <row r="1" ht="20.7" customHeight="1" spans="2:20">
      <c r="B1" s="46" t="s">
        <v>0</v>
      </c>
      <c r="C1" s="47" t="s">
        <v>1</v>
      </c>
      <c r="D1" s="48"/>
      <c r="E1" s="49"/>
      <c r="F1" s="50"/>
      <c r="G1" s="51"/>
      <c r="H1" s="50"/>
      <c r="I1" s="49"/>
      <c r="J1" s="96"/>
      <c r="K1" s="48"/>
      <c r="S1" s="104"/>
      <c r="T1" s="105"/>
    </row>
    <row r="2" ht="18.6" spans="2:20">
      <c r="B2" s="52" t="s">
        <v>2</v>
      </c>
      <c r="C2" s="53">
        <v>5</v>
      </c>
      <c r="D2" s="48"/>
      <c r="E2" s="49"/>
      <c r="F2" s="50"/>
      <c r="G2" s="51"/>
      <c r="H2" s="50"/>
      <c r="I2" s="49"/>
      <c r="J2" s="96"/>
      <c r="K2" s="48"/>
      <c r="S2" s="104"/>
      <c r="T2" s="106"/>
    </row>
    <row r="3" ht="18.6" spans="2:20">
      <c r="B3" s="54" t="s">
        <v>3</v>
      </c>
      <c r="C3" s="53">
        <v>8</v>
      </c>
      <c r="D3" s="48"/>
      <c r="E3" s="49"/>
      <c r="F3" s="50"/>
      <c r="G3" s="51"/>
      <c r="H3" s="50"/>
      <c r="I3" s="49"/>
      <c r="J3" s="96"/>
      <c r="K3" s="48"/>
      <c r="S3" s="104"/>
      <c r="T3" s="106"/>
    </row>
    <row r="4" ht="18.6" spans="1:20">
      <c r="A4" s="55"/>
      <c r="B4" s="54" t="s">
        <v>4</v>
      </c>
      <c r="C4" s="53">
        <v>10</v>
      </c>
      <c r="D4" s="48"/>
      <c r="E4" s="49"/>
      <c r="F4" s="50"/>
      <c r="G4" s="51"/>
      <c r="H4" s="50"/>
      <c r="I4" s="49"/>
      <c r="J4" s="96"/>
      <c r="K4" s="48"/>
      <c r="S4" s="42"/>
      <c r="T4" s="42"/>
    </row>
    <row r="5" ht="18.6" spans="2:11">
      <c r="B5" s="54" t="s">
        <v>5</v>
      </c>
      <c r="C5" s="53">
        <v>6</v>
      </c>
      <c r="D5" s="48"/>
      <c r="E5" s="49"/>
      <c r="F5" s="50"/>
      <c r="G5" s="51"/>
      <c r="H5" s="50"/>
      <c r="I5" s="49"/>
      <c r="J5" s="96"/>
      <c r="K5" s="48"/>
    </row>
    <row r="6" spans="2:11">
      <c r="B6" s="49"/>
      <c r="C6" s="51"/>
      <c r="D6" s="49"/>
      <c r="E6" s="49"/>
      <c r="F6" s="56"/>
      <c r="G6" s="49"/>
      <c r="H6" s="50"/>
      <c r="I6" s="51"/>
      <c r="J6" s="50"/>
      <c r="K6" s="49"/>
    </row>
    <row r="7" ht="31" customHeight="1" spans="1:11">
      <c r="A7" s="57" t="s">
        <v>6</v>
      </c>
      <c r="B7" s="58" t="s">
        <v>7</v>
      </c>
      <c r="C7" s="58" t="s">
        <v>8</v>
      </c>
      <c r="D7" s="59" t="s">
        <v>9</v>
      </c>
      <c r="E7" s="59" t="s">
        <v>10</v>
      </c>
      <c r="F7" s="58" t="s">
        <v>11</v>
      </c>
      <c r="G7" s="59" t="s">
        <v>12</v>
      </c>
      <c r="H7" s="59" t="s">
        <v>13</v>
      </c>
      <c r="I7" s="97" t="s">
        <v>14</v>
      </c>
      <c r="J7" s="59" t="s">
        <v>15</v>
      </c>
      <c r="K7" s="59" t="s">
        <v>16</v>
      </c>
    </row>
    <row r="8" ht="17.4" spans="1:11">
      <c r="A8" s="60">
        <v>1</v>
      </c>
      <c r="B8" s="61" t="s">
        <v>17</v>
      </c>
      <c r="C8" s="62" t="s">
        <v>18</v>
      </c>
      <c r="D8" s="63">
        <v>40000</v>
      </c>
      <c r="E8" s="61"/>
      <c r="F8" s="64">
        <f>IF(C8="Цех",E8*500,D8)</f>
        <v>40000</v>
      </c>
      <c r="G8" s="61">
        <f>IF(F8&lt;=20000,$C$2,IF(AND(20000&lt;F8,F8&lt;25000),$C$3,IF(AND(25000&lt;=F8,F8&lt;30000),$C$4,IF(F8&gt;=30000,$C$5,))))</f>
        <v>6</v>
      </c>
      <c r="H8" s="65">
        <f>IF(F8&lt;=20000,($C$2/100)*F8,IF(AND(20000&lt;F8,F8&lt;25000),($C$3/100)*F8,IF(AND(25000&lt;=F8,F8&lt;30000),($C$4/100)*F8,IF(F8&gt;=30000,($C$5/100)*F8,))))</f>
        <v>2400</v>
      </c>
      <c r="I8" s="62">
        <f>SUM(F8,H8)</f>
        <v>42400</v>
      </c>
      <c r="J8" s="65">
        <f>I8*0.342</f>
        <v>14500.8</v>
      </c>
      <c r="K8" s="61">
        <f>I8-J8</f>
        <v>27899.2</v>
      </c>
    </row>
    <row r="9" ht="17.4" spans="1:11">
      <c r="A9" s="60">
        <v>2</v>
      </c>
      <c r="B9" s="66" t="s">
        <v>19</v>
      </c>
      <c r="C9" s="67" t="s">
        <v>20</v>
      </c>
      <c r="D9" s="68">
        <v>20000</v>
      </c>
      <c r="E9" s="61"/>
      <c r="F9" s="64">
        <f t="shared" ref="F9:F17" si="0">IF(C9="Цех",E9*500,D9)</f>
        <v>20000</v>
      </c>
      <c r="G9" s="61">
        <f t="shared" ref="G9:G17" si="1">IF(F9&lt;=20000,$C$2,IF(AND(20000&lt;F9,F9&lt;25000),$C$3,IF(AND(25000&lt;=F9,F9&lt;30000),$C$4,IF(F9&gt;=30000,$C$5,))))</f>
        <v>5</v>
      </c>
      <c r="H9" s="65">
        <f t="shared" ref="H9:H17" si="2">IF(F9&lt;=20000,($C$2/100)*F9,IF(AND(20000&lt;F9,F9&lt;25000),($C$3/100)*F9,IF(AND(25000&lt;=F9,F9&lt;30000),($C$4/100)*F9,IF(F9&gt;=30000,($C$5/100)*F9,))))</f>
        <v>1000</v>
      </c>
      <c r="I9" s="62">
        <f t="shared" ref="I9:I17" si="3">SUM(F9,H9)</f>
        <v>21000</v>
      </c>
      <c r="J9" s="65">
        <f t="shared" ref="J9:J17" si="4">I9*0.342</f>
        <v>7182</v>
      </c>
      <c r="K9" s="61">
        <f t="shared" ref="K9:K17" si="5">I9-J9</f>
        <v>13818</v>
      </c>
    </row>
    <row r="10" ht="17.4" spans="1:11">
      <c r="A10" s="69">
        <v>3</v>
      </c>
      <c r="B10" s="61" t="s">
        <v>21</v>
      </c>
      <c r="C10" s="62" t="s">
        <v>22</v>
      </c>
      <c r="D10" s="63">
        <v>30000</v>
      </c>
      <c r="E10" s="61"/>
      <c r="F10" s="64">
        <f t="shared" si="0"/>
        <v>30000</v>
      </c>
      <c r="G10" s="61">
        <f t="shared" si="1"/>
        <v>6</v>
      </c>
      <c r="H10" s="65">
        <f t="shared" si="2"/>
        <v>1800</v>
      </c>
      <c r="I10" s="62">
        <f t="shared" si="3"/>
        <v>31800</v>
      </c>
      <c r="J10" s="65">
        <f t="shared" si="4"/>
        <v>10875.6</v>
      </c>
      <c r="K10" s="61">
        <f t="shared" si="5"/>
        <v>20924.4</v>
      </c>
    </row>
    <row r="11" ht="17.4" spans="1:11">
      <c r="A11" s="69">
        <v>4</v>
      </c>
      <c r="B11" s="61" t="s">
        <v>23</v>
      </c>
      <c r="C11" s="70" t="s">
        <v>24</v>
      </c>
      <c r="D11" s="63">
        <v>500</v>
      </c>
      <c r="E11" s="70">
        <v>42</v>
      </c>
      <c r="F11" s="64">
        <f t="shared" si="0"/>
        <v>21000</v>
      </c>
      <c r="G11" s="61">
        <f t="shared" si="1"/>
        <v>8</v>
      </c>
      <c r="H11" s="65">
        <f t="shared" si="2"/>
        <v>1680</v>
      </c>
      <c r="I11" s="62">
        <f t="shared" si="3"/>
        <v>22680</v>
      </c>
      <c r="J11" s="65">
        <f t="shared" si="4"/>
        <v>7756.56</v>
      </c>
      <c r="K11" s="61">
        <f t="shared" si="5"/>
        <v>14923.44</v>
      </c>
    </row>
    <row r="12" ht="17.4" spans="1:11">
      <c r="A12" s="69">
        <v>5</v>
      </c>
      <c r="B12" s="61" t="s">
        <v>25</v>
      </c>
      <c r="C12" s="70" t="s">
        <v>24</v>
      </c>
      <c r="D12" s="63">
        <v>500</v>
      </c>
      <c r="E12" s="70">
        <v>50</v>
      </c>
      <c r="F12" s="64">
        <f t="shared" si="0"/>
        <v>25000</v>
      </c>
      <c r="G12" s="61">
        <f t="shared" si="1"/>
        <v>10</v>
      </c>
      <c r="H12" s="65">
        <f t="shared" si="2"/>
        <v>2500</v>
      </c>
      <c r="I12" s="62">
        <f t="shared" si="3"/>
        <v>27500</v>
      </c>
      <c r="J12" s="65">
        <f t="shared" si="4"/>
        <v>9405</v>
      </c>
      <c r="K12" s="61">
        <f t="shared" si="5"/>
        <v>18095</v>
      </c>
    </row>
    <row r="13" ht="17.4" spans="1:11">
      <c r="A13" s="60">
        <v>6</v>
      </c>
      <c r="B13" s="61" t="s">
        <v>26</v>
      </c>
      <c r="C13" s="62" t="s">
        <v>22</v>
      </c>
      <c r="D13" s="63">
        <v>24000</v>
      </c>
      <c r="E13" s="61"/>
      <c r="F13" s="64">
        <f t="shared" si="0"/>
        <v>24000</v>
      </c>
      <c r="G13" s="61">
        <f t="shared" si="1"/>
        <v>8</v>
      </c>
      <c r="H13" s="65">
        <f t="shared" si="2"/>
        <v>1920</v>
      </c>
      <c r="I13" s="62">
        <f t="shared" si="3"/>
        <v>25920</v>
      </c>
      <c r="J13" s="65">
        <f t="shared" si="4"/>
        <v>8864.64</v>
      </c>
      <c r="K13" s="61">
        <f t="shared" si="5"/>
        <v>17055.36</v>
      </c>
    </row>
    <row r="14" ht="17.4" spans="1:11">
      <c r="A14" s="69">
        <v>7</v>
      </c>
      <c r="B14" s="61" t="s">
        <v>27</v>
      </c>
      <c r="C14" s="62" t="s">
        <v>22</v>
      </c>
      <c r="D14" s="63">
        <v>19000</v>
      </c>
      <c r="E14" s="61"/>
      <c r="F14" s="64">
        <f t="shared" si="0"/>
        <v>19000</v>
      </c>
      <c r="G14" s="61">
        <f t="shared" si="1"/>
        <v>5</v>
      </c>
      <c r="H14" s="65">
        <f t="shared" si="2"/>
        <v>950</v>
      </c>
      <c r="I14" s="62">
        <f t="shared" si="3"/>
        <v>19950</v>
      </c>
      <c r="J14" s="65">
        <f t="shared" si="4"/>
        <v>6822.9</v>
      </c>
      <c r="K14" s="61">
        <f t="shared" si="5"/>
        <v>13127.1</v>
      </c>
    </row>
    <row r="15" ht="17.4" spans="1:11">
      <c r="A15" s="60">
        <v>8</v>
      </c>
      <c r="B15" s="61" t="s">
        <v>28</v>
      </c>
      <c r="C15" s="70" t="s">
        <v>24</v>
      </c>
      <c r="D15" s="63">
        <v>500</v>
      </c>
      <c r="E15" s="70">
        <v>64</v>
      </c>
      <c r="F15" s="64">
        <f t="shared" si="0"/>
        <v>32000</v>
      </c>
      <c r="G15" s="61">
        <f t="shared" si="1"/>
        <v>6</v>
      </c>
      <c r="H15" s="65">
        <f t="shared" si="2"/>
        <v>1920</v>
      </c>
      <c r="I15" s="62">
        <f t="shared" si="3"/>
        <v>33920</v>
      </c>
      <c r="J15" s="65">
        <f t="shared" si="4"/>
        <v>11600.64</v>
      </c>
      <c r="K15" s="61">
        <f t="shared" si="5"/>
        <v>22319.36</v>
      </c>
    </row>
    <row r="16" ht="17.4" spans="1:11">
      <c r="A16" s="69">
        <v>9</v>
      </c>
      <c r="B16" s="61" t="s">
        <v>29</v>
      </c>
      <c r="C16" s="70" t="s">
        <v>20</v>
      </c>
      <c r="D16" s="63">
        <v>15000</v>
      </c>
      <c r="E16" s="61"/>
      <c r="F16" s="64">
        <f t="shared" si="0"/>
        <v>15000</v>
      </c>
      <c r="G16" s="61">
        <f t="shared" si="1"/>
        <v>5</v>
      </c>
      <c r="H16" s="65">
        <f t="shared" si="2"/>
        <v>750</v>
      </c>
      <c r="I16" s="62">
        <f t="shared" si="3"/>
        <v>15750</v>
      </c>
      <c r="J16" s="65">
        <f t="shared" si="4"/>
        <v>5386.5</v>
      </c>
      <c r="K16" s="61">
        <f t="shared" si="5"/>
        <v>10363.5</v>
      </c>
    </row>
    <row r="17" ht="17.4" spans="1:11">
      <c r="A17" s="60">
        <v>10</v>
      </c>
      <c r="B17" s="61" t="s">
        <v>30</v>
      </c>
      <c r="C17" s="70" t="s">
        <v>24</v>
      </c>
      <c r="D17" s="63">
        <v>500</v>
      </c>
      <c r="E17" s="70">
        <v>45</v>
      </c>
      <c r="F17" s="64">
        <f t="shared" si="0"/>
        <v>22500</v>
      </c>
      <c r="G17" s="61">
        <f t="shared" si="1"/>
        <v>8</v>
      </c>
      <c r="H17" s="65">
        <f t="shared" si="2"/>
        <v>1800</v>
      </c>
      <c r="I17" s="62">
        <f t="shared" si="3"/>
        <v>24300</v>
      </c>
      <c r="J17" s="65">
        <f t="shared" si="4"/>
        <v>8310.6</v>
      </c>
      <c r="K17" s="61">
        <f t="shared" si="5"/>
        <v>15989.4</v>
      </c>
    </row>
    <row r="18" ht="15.9" customHeight="1" spans="1:11">
      <c r="A18" s="71"/>
      <c r="B18" s="72"/>
      <c r="C18" s="73"/>
      <c r="D18" s="74"/>
      <c r="E18" s="74"/>
      <c r="F18" s="75"/>
      <c r="G18" s="76"/>
      <c r="H18" s="75"/>
      <c r="I18" s="98"/>
      <c r="J18" s="99"/>
      <c r="K18" s="74"/>
    </row>
    <row r="19" ht="17.4" spans="1:11">
      <c r="A19" s="71"/>
      <c r="B19" s="72"/>
      <c r="C19" s="77"/>
      <c r="D19" s="78" t="s">
        <v>31</v>
      </c>
      <c r="E19" s="79">
        <f>SUM(E8:E17)</f>
        <v>201</v>
      </c>
      <c r="F19" s="80">
        <f>SUM(F8:F17)</f>
        <v>248500</v>
      </c>
      <c r="G19" s="81"/>
      <c r="H19" s="80">
        <f>SUM(H8:H17)</f>
        <v>16720</v>
      </c>
      <c r="I19" s="79">
        <f>SUM(I8:I17)</f>
        <v>265220</v>
      </c>
      <c r="J19" s="79">
        <f>SUM(J8:J17)</f>
        <v>90705.24</v>
      </c>
      <c r="K19" s="79">
        <f>SUM(K8:K17)</f>
        <v>174514.76</v>
      </c>
    </row>
    <row r="20" ht="17.4" spans="1:11">
      <c r="A20" s="71"/>
      <c r="B20" s="72"/>
      <c r="C20" s="73"/>
      <c r="D20" s="82"/>
      <c r="E20" s="81"/>
      <c r="F20" s="83"/>
      <c r="G20" s="83"/>
      <c r="H20" s="83"/>
      <c r="I20" s="83"/>
      <c r="J20" s="83"/>
      <c r="K20" s="83"/>
    </row>
    <row r="21" ht="18" spans="1:11">
      <c r="A21" s="84"/>
      <c r="B21" s="84"/>
      <c r="C21" s="84"/>
      <c r="D21" s="85" t="s">
        <v>32</v>
      </c>
      <c r="E21" s="85">
        <f>MAX(F8:F17)</f>
        <v>40000</v>
      </c>
      <c r="F21" s="84"/>
      <c r="G21" s="84"/>
      <c r="H21" s="84"/>
      <c r="I21" s="84"/>
      <c r="J21" s="84"/>
      <c r="K21" s="84"/>
    </row>
    <row r="22" ht="18" spans="1:11">
      <c r="A22" s="84"/>
      <c r="B22" s="84"/>
      <c r="C22" s="84"/>
      <c r="D22" s="86" t="s">
        <v>33</v>
      </c>
      <c r="E22" s="85">
        <f>MIN(F8:F17)</f>
        <v>15000</v>
      </c>
      <c r="F22" s="84"/>
      <c r="G22" s="84"/>
      <c r="H22" s="84"/>
      <c r="I22" s="84"/>
      <c r="J22" s="84"/>
      <c r="K22" s="84"/>
    </row>
    <row r="23" ht="18" spans="1:11">
      <c r="A23" s="84"/>
      <c r="B23" s="84"/>
      <c r="C23" s="84"/>
      <c r="D23" s="87" t="s">
        <v>34</v>
      </c>
      <c r="E23" s="85">
        <f>AVERAGE(I8:I17)</f>
        <v>26522</v>
      </c>
      <c r="F23" s="84"/>
      <c r="G23" s="84"/>
      <c r="H23" s="84"/>
      <c r="I23" s="84"/>
      <c r="J23" s="84"/>
      <c r="K23" s="84"/>
    </row>
    <row r="24" ht="18" spans="1:11">
      <c r="A24" s="84"/>
      <c r="B24" s="84"/>
      <c r="C24" s="84"/>
      <c r="D24" s="87" t="s">
        <v>35</v>
      </c>
      <c r="E24" s="85">
        <f>COUNTIF(C8:C17,$C$11)</f>
        <v>4</v>
      </c>
      <c r="F24" s="84"/>
      <c r="G24" s="84"/>
      <c r="H24" s="84"/>
      <c r="I24" s="84"/>
      <c r="J24" s="84"/>
      <c r="K24" s="84"/>
    </row>
    <row r="26" spans="1:5">
      <c r="A26" s="88"/>
      <c r="B26" s="88"/>
      <c r="C26" s="88"/>
      <c r="D26" s="88"/>
      <c r="E26" s="88"/>
    </row>
    <row r="27" ht="17.4" spans="4:10">
      <c r="D27" s="89"/>
      <c r="E27" s="90" t="s">
        <v>36</v>
      </c>
      <c r="F27" s="91"/>
      <c r="G27" s="91"/>
      <c r="H27" s="91"/>
      <c r="I27" s="100"/>
      <c r="J27" s="101"/>
    </row>
    <row r="29" s="45" customFormat="1" ht="40.8" customHeight="1" spans="1:11">
      <c r="A29" s="57" t="s">
        <v>37</v>
      </c>
      <c r="B29" s="58" t="s">
        <v>7</v>
      </c>
      <c r="C29" s="58" t="s">
        <v>8</v>
      </c>
      <c r="D29" s="59" t="s">
        <v>9</v>
      </c>
      <c r="E29" s="59" t="s">
        <v>10</v>
      </c>
      <c r="F29" s="58" t="s">
        <v>11</v>
      </c>
      <c r="G29" s="59" t="s">
        <v>12</v>
      </c>
      <c r="H29" s="59" t="s">
        <v>13</v>
      </c>
      <c r="I29" s="97" t="s">
        <v>14</v>
      </c>
      <c r="J29" s="59" t="s">
        <v>15</v>
      </c>
      <c r="K29" s="59" t="s">
        <v>16</v>
      </c>
    </row>
    <row r="30" ht="17.4" spans="1:11">
      <c r="A30" s="92">
        <v>6</v>
      </c>
      <c r="B30" s="93" t="s">
        <v>26</v>
      </c>
      <c r="C30" s="93" t="s">
        <v>22</v>
      </c>
      <c r="D30" s="93">
        <v>24000</v>
      </c>
      <c r="E30" s="93"/>
      <c r="F30" s="93">
        <v>24000</v>
      </c>
      <c r="G30" s="93">
        <v>8</v>
      </c>
      <c r="H30" s="93">
        <v>1920</v>
      </c>
      <c r="I30" s="93">
        <v>25920</v>
      </c>
      <c r="J30" s="93">
        <v>8864.64</v>
      </c>
      <c r="K30" s="102">
        <v>17055.36</v>
      </c>
    </row>
    <row r="31" ht="17.4" spans="1:11">
      <c r="A31" s="92">
        <v>3</v>
      </c>
      <c r="B31" s="93" t="s">
        <v>21</v>
      </c>
      <c r="C31" s="93" t="s">
        <v>22</v>
      </c>
      <c r="D31" s="93">
        <v>30000</v>
      </c>
      <c r="E31" s="93"/>
      <c r="F31" s="93">
        <v>30000</v>
      </c>
      <c r="G31" s="93">
        <v>6</v>
      </c>
      <c r="H31" s="93">
        <v>1800</v>
      </c>
      <c r="I31" s="93">
        <v>31800</v>
      </c>
      <c r="J31" s="93">
        <v>10875.6</v>
      </c>
      <c r="K31" s="102">
        <v>20924.4</v>
      </c>
    </row>
    <row r="32" ht="17.4" spans="1:11">
      <c r="A32" s="92">
        <v>4</v>
      </c>
      <c r="B32" s="93" t="s">
        <v>23</v>
      </c>
      <c r="C32" s="93" t="s">
        <v>24</v>
      </c>
      <c r="D32" s="93">
        <v>500</v>
      </c>
      <c r="E32" s="93">
        <v>42</v>
      </c>
      <c r="F32" s="93">
        <v>21000</v>
      </c>
      <c r="G32" s="93">
        <v>8</v>
      </c>
      <c r="H32" s="93">
        <v>1680</v>
      </c>
      <c r="I32" s="93">
        <v>22680</v>
      </c>
      <c r="J32" s="93">
        <v>7756.56</v>
      </c>
      <c r="K32" s="102">
        <v>14923.44</v>
      </c>
    </row>
    <row r="33" ht="17.4" spans="1:11">
      <c r="A33" s="92">
        <v>5</v>
      </c>
      <c r="B33" s="93" t="s">
        <v>25</v>
      </c>
      <c r="C33" s="93" t="s">
        <v>24</v>
      </c>
      <c r="D33" s="93">
        <v>500</v>
      </c>
      <c r="E33" s="93">
        <v>50</v>
      </c>
      <c r="F33" s="93">
        <v>25000</v>
      </c>
      <c r="G33" s="93">
        <v>10</v>
      </c>
      <c r="H33" s="93">
        <v>2500</v>
      </c>
      <c r="I33" s="93">
        <v>27500</v>
      </c>
      <c r="J33" s="93">
        <v>9405</v>
      </c>
      <c r="K33" s="102">
        <v>18095</v>
      </c>
    </row>
    <row r="34" ht="17.4" spans="1:11">
      <c r="A34" s="92">
        <v>8</v>
      </c>
      <c r="B34" s="93" t="s">
        <v>28</v>
      </c>
      <c r="C34" s="93" t="s">
        <v>24</v>
      </c>
      <c r="D34" s="93">
        <v>500</v>
      </c>
      <c r="E34" s="93">
        <v>64</v>
      </c>
      <c r="F34" s="93">
        <v>32000</v>
      </c>
      <c r="G34" s="93">
        <v>6</v>
      </c>
      <c r="H34" s="93">
        <v>1920</v>
      </c>
      <c r="I34" s="93">
        <v>33920</v>
      </c>
      <c r="J34" s="93">
        <v>11600.64</v>
      </c>
      <c r="K34" s="102">
        <v>22319.36</v>
      </c>
    </row>
    <row r="35" ht="17.4" spans="1:11">
      <c r="A35" s="92">
        <v>7</v>
      </c>
      <c r="B35" s="93" t="s">
        <v>27</v>
      </c>
      <c r="C35" s="93" t="s">
        <v>22</v>
      </c>
      <c r="D35" s="93">
        <v>19000</v>
      </c>
      <c r="E35" s="93"/>
      <c r="F35" s="93">
        <v>19000</v>
      </c>
      <c r="G35" s="93">
        <v>5</v>
      </c>
      <c r="H35" s="93">
        <v>950</v>
      </c>
      <c r="I35" s="93">
        <v>19950</v>
      </c>
      <c r="J35" s="93">
        <v>6822.9</v>
      </c>
      <c r="K35" s="102">
        <v>13127.1</v>
      </c>
    </row>
    <row r="36" ht="17.4" spans="1:11">
      <c r="A36" s="92">
        <v>1</v>
      </c>
      <c r="B36" s="93" t="s">
        <v>17</v>
      </c>
      <c r="C36" s="93" t="s">
        <v>18</v>
      </c>
      <c r="D36" s="93">
        <v>40000</v>
      </c>
      <c r="E36" s="93"/>
      <c r="F36" s="93">
        <v>40000</v>
      </c>
      <c r="G36" s="93">
        <v>6</v>
      </c>
      <c r="H36" s="93">
        <v>2400</v>
      </c>
      <c r="I36" s="93">
        <v>42400</v>
      </c>
      <c r="J36" s="93">
        <v>14500.8</v>
      </c>
      <c r="K36" s="102">
        <v>27899.2</v>
      </c>
    </row>
    <row r="37" ht="17.4" spans="1:11">
      <c r="A37" s="92">
        <v>9</v>
      </c>
      <c r="B37" s="93" t="s">
        <v>29</v>
      </c>
      <c r="C37" s="93" t="s">
        <v>20</v>
      </c>
      <c r="D37" s="93">
        <v>15000</v>
      </c>
      <c r="E37" s="93"/>
      <c r="F37" s="93">
        <v>15000</v>
      </c>
      <c r="G37" s="93">
        <v>5</v>
      </c>
      <c r="H37" s="93">
        <v>750</v>
      </c>
      <c r="I37" s="93">
        <v>15750</v>
      </c>
      <c r="J37" s="93">
        <v>5386.5</v>
      </c>
      <c r="K37" s="102">
        <v>10363.5</v>
      </c>
    </row>
    <row r="38" ht="17.4" spans="1:11">
      <c r="A38" s="92">
        <v>2</v>
      </c>
      <c r="B38" s="93" t="s">
        <v>19</v>
      </c>
      <c r="C38" s="93" t="s">
        <v>20</v>
      </c>
      <c r="D38" s="93">
        <v>20000</v>
      </c>
      <c r="E38" s="93"/>
      <c r="F38" s="93">
        <v>20000</v>
      </c>
      <c r="G38" s="93">
        <v>5</v>
      </c>
      <c r="H38" s="93">
        <v>1000</v>
      </c>
      <c r="I38" s="93">
        <v>21000</v>
      </c>
      <c r="J38" s="93">
        <v>7182</v>
      </c>
      <c r="K38" s="102">
        <v>13818</v>
      </c>
    </row>
    <row r="39" ht="18.15" spans="1:11">
      <c r="A39" s="94">
        <v>10</v>
      </c>
      <c r="B39" s="95" t="s">
        <v>30</v>
      </c>
      <c r="C39" s="95" t="s">
        <v>24</v>
      </c>
      <c r="D39" s="95">
        <v>500</v>
      </c>
      <c r="E39" s="95">
        <v>45</v>
      </c>
      <c r="F39" s="95">
        <v>22500</v>
      </c>
      <c r="G39" s="95">
        <v>8</v>
      </c>
      <c r="H39" s="95">
        <v>1800</v>
      </c>
      <c r="I39" s="95">
        <v>24300</v>
      </c>
      <c r="J39" s="95">
        <v>8310.6</v>
      </c>
      <c r="K39" s="103">
        <v>15989.4</v>
      </c>
    </row>
    <row r="43" ht="21.75" spans="1:6">
      <c r="A43" s="1" t="s">
        <v>38</v>
      </c>
      <c r="B43" s="1" t="s">
        <v>39</v>
      </c>
      <c r="C43" s="1" t="s">
        <v>40</v>
      </c>
      <c r="D43" s="2" t="s">
        <v>41</v>
      </c>
      <c r="E43" s="1" t="s">
        <v>42</v>
      </c>
      <c r="F43" s="3" t="s">
        <v>43</v>
      </c>
    </row>
    <row r="44" ht="20.4" spans="1:6">
      <c r="A44" s="4" t="s">
        <v>44</v>
      </c>
      <c r="B44" s="5" t="s">
        <v>45</v>
      </c>
      <c r="C44" s="6" t="s">
        <v>46</v>
      </c>
      <c r="D44" s="6" t="s">
        <v>47</v>
      </c>
      <c r="E44" s="6" t="s">
        <v>48</v>
      </c>
      <c r="F44" s="5" t="s">
        <v>49</v>
      </c>
    </row>
    <row r="45" ht="20.4" spans="1:6">
      <c r="A45" s="8" t="s">
        <v>50</v>
      </c>
      <c r="B45" s="9" t="s">
        <v>51</v>
      </c>
      <c r="C45" s="10" t="s">
        <v>52</v>
      </c>
      <c r="D45" s="10" t="s">
        <v>53</v>
      </c>
      <c r="E45" s="10" t="s">
        <v>54</v>
      </c>
      <c r="F45" s="9" t="s">
        <v>55</v>
      </c>
    </row>
    <row r="46" ht="20.4" spans="1:6">
      <c r="A46" s="8" t="s">
        <v>56</v>
      </c>
      <c r="B46" s="9" t="s">
        <v>57</v>
      </c>
      <c r="C46" s="10" t="s">
        <v>58</v>
      </c>
      <c r="D46" s="10" t="s">
        <v>47</v>
      </c>
      <c r="E46" s="10" t="s">
        <v>59</v>
      </c>
      <c r="F46" s="9" t="s">
        <v>60</v>
      </c>
    </row>
    <row r="47" ht="20.4" spans="1:6">
      <c r="A47" s="8" t="s">
        <v>61</v>
      </c>
      <c r="B47" s="9" t="s">
        <v>62</v>
      </c>
      <c r="C47" s="10" t="s">
        <v>63</v>
      </c>
      <c r="D47" s="10" t="s">
        <v>47</v>
      </c>
      <c r="E47" s="10" t="s">
        <v>64</v>
      </c>
      <c r="F47" s="9" t="s">
        <v>65</v>
      </c>
    </row>
    <row r="48" ht="20.4" spans="1:6">
      <c r="A48" s="8" t="s">
        <v>66</v>
      </c>
      <c r="B48" s="9" t="s">
        <v>67</v>
      </c>
      <c r="C48" s="10" t="s">
        <v>63</v>
      </c>
      <c r="D48" s="10" t="s">
        <v>53</v>
      </c>
      <c r="E48" s="10" t="s">
        <v>68</v>
      </c>
      <c r="F48" s="9" t="s">
        <v>69</v>
      </c>
    </row>
    <row r="49" ht="20.4" spans="1:6">
      <c r="A49" s="8" t="s">
        <v>70</v>
      </c>
      <c r="B49" s="9" t="s">
        <v>71</v>
      </c>
      <c r="C49" s="10" t="s">
        <v>58</v>
      </c>
      <c r="D49" s="10" t="s">
        <v>53</v>
      </c>
      <c r="E49" s="10" t="s">
        <v>54</v>
      </c>
      <c r="F49" s="9" t="s">
        <v>60</v>
      </c>
    </row>
    <row r="50" ht="20.4" spans="1:6">
      <c r="A50" s="8" t="s">
        <v>72</v>
      </c>
      <c r="B50" s="9" t="s">
        <v>73</v>
      </c>
      <c r="C50" s="10" t="s">
        <v>74</v>
      </c>
      <c r="D50" s="10" t="s">
        <v>75</v>
      </c>
      <c r="E50" s="10" t="s">
        <v>68</v>
      </c>
      <c r="F50" s="9" t="s">
        <v>76</v>
      </c>
    </row>
    <row r="51" ht="20.4" spans="1:6">
      <c r="A51" s="8" t="s">
        <v>77</v>
      </c>
      <c r="B51" s="9" t="s">
        <v>78</v>
      </c>
      <c r="C51" s="10" t="s">
        <v>74</v>
      </c>
      <c r="D51" s="10" t="s">
        <v>75</v>
      </c>
      <c r="E51" s="10" t="s">
        <v>68</v>
      </c>
      <c r="F51" s="9" t="s">
        <v>79</v>
      </c>
    </row>
    <row r="52" ht="20.4" spans="1:6">
      <c r="A52" s="8" t="s">
        <v>80</v>
      </c>
      <c r="B52" s="9" t="s">
        <v>81</v>
      </c>
      <c r="C52" s="10" t="s">
        <v>82</v>
      </c>
      <c r="D52" s="10" t="s">
        <v>75</v>
      </c>
      <c r="E52" s="10" t="s">
        <v>59</v>
      </c>
      <c r="F52" s="9" t="s">
        <v>83</v>
      </c>
    </row>
    <row r="53" ht="20.4" spans="1:6">
      <c r="A53" s="8" t="s">
        <v>84</v>
      </c>
      <c r="B53" s="9" t="s">
        <v>85</v>
      </c>
      <c r="C53" s="10" t="s">
        <v>82</v>
      </c>
      <c r="D53" s="10" t="s">
        <v>53</v>
      </c>
      <c r="E53" s="10" t="s">
        <v>64</v>
      </c>
      <c r="F53" s="9" t="s">
        <v>86</v>
      </c>
    </row>
    <row r="54" ht="20.4" spans="1:6">
      <c r="A54" s="8" t="s">
        <v>87</v>
      </c>
      <c r="B54" s="9" t="s">
        <v>88</v>
      </c>
      <c r="C54" s="10" t="s">
        <v>58</v>
      </c>
      <c r="D54" s="10" t="s">
        <v>53</v>
      </c>
      <c r="E54" s="10" t="s">
        <v>64</v>
      </c>
      <c r="F54" s="9" t="s">
        <v>89</v>
      </c>
    </row>
    <row r="55" ht="20.4" spans="1:6">
      <c r="A55" s="8" t="s">
        <v>90</v>
      </c>
      <c r="B55" s="9" t="s">
        <v>91</v>
      </c>
      <c r="C55" s="10" t="s">
        <v>58</v>
      </c>
      <c r="D55" s="10" t="s">
        <v>47</v>
      </c>
      <c r="E55" s="10" t="s">
        <v>54</v>
      </c>
      <c r="F55" s="9" t="s">
        <v>92</v>
      </c>
    </row>
    <row r="56" ht="20.4" spans="1:6">
      <c r="A56" s="8" t="s">
        <v>93</v>
      </c>
      <c r="B56" s="9" t="s">
        <v>94</v>
      </c>
      <c r="C56" s="10" t="s">
        <v>63</v>
      </c>
      <c r="D56" s="10" t="s">
        <v>95</v>
      </c>
      <c r="E56" s="10" t="s">
        <v>59</v>
      </c>
      <c r="F56" s="9" t="s">
        <v>96</v>
      </c>
    </row>
    <row r="57" ht="20.4" spans="1:6">
      <c r="A57" s="8" t="s">
        <v>97</v>
      </c>
      <c r="B57" s="9" t="s">
        <v>98</v>
      </c>
      <c r="C57" s="10" t="s">
        <v>52</v>
      </c>
      <c r="D57" s="10" t="s">
        <v>95</v>
      </c>
      <c r="E57" s="10" t="s">
        <v>54</v>
      </c>
      <c r="F57" s="9" t="s">
        <v>99</v>
      </c>
    </row>
    <row r="58" ht="20.4" spans="1:6">
      <c r="A58" s="8" t="s">
        <v>100</v>
      </c>
      <c r="B58" s="9" t="s">
        <v>101</v>
      </c>
      <c r="C58" s="10" t="s">
        <v>52</v>
      </c>
      <c r="D58" s="10" t="s">
        <v>47</v>
      </c>
      <c r="E58" s="10" t="s">
        <v>59</v>
      </c>
      <c r="F58" s="9" t="s">
        <v>89</v>
      </c>
    </row>
    <row r="59" ht="20.4" spans="1:6">
      <c r="A59" s="8" t="s">
        <v>102</v>
      </c>
      <c r="B59" s="9" t="s">
        <v>98</v>
      </c>
      <c r="C59" s="10" t="s">
        <v>46</v>
      </c>
      <c r="D59" s="10" t="s">
        <v>47</v>
      </c>
      <c r="E59" s="10" t="s">
        <v>59</v>
      </c>
      <c r="F59" s="9" t="s">
        <v>103</v>
      </c>
    </row>
    <row r="60" ht="20.4" spans="1:6">
      <c r="A60" s="8" t="s">
        <v>104</v>
      </c>
      <c r="B60" s="9" t="s">
        <v>105</v>
      </c>
      <c r="C60" s="10" t="s">
        <v>46</v>
      </c>
      <c r="D60" s="10" t="s">
        <v>75</v>
      </c>
      <c r="E60" s="10" t="s">
        <v>68</v>
      </c>
      <c r="F60" s="9" t="s">
        <v>106</v>
      </c>
    </row>
    <row r="61" ht="20.4" spans="1:6">
      <c r="A61" s="8" t="s">
        <v>107</v>
      </c>
      <c r="B61" s="9" t="s">
        <v>108</v>
      </c>
      <c r="C61" s="10" t="s">
        <v>46</v>
      </c>
      <c r="D61" s="10" t="s">
        <v>95</v>
      </c>
      <c r="E61" s="10" t="s">
        <v>68</v>
      </c>
      <c r="F61" s="9" t="s">
        <v>65</v>
      </c>
    </row>
    <row r="62" ht="20.4" spans="1:6">
      <c r="A62" s="8" t="s">
        <v>109</v>
      </c>
      <c r="B62" s="9" t="s">
        <v>110</v>
      </c>
      <c r="C62" s="10" t="s">
        <v>58</v>
      </c>
      <c r="D62" s="10" t="s">
        <v>47</v>
      </c>
      <c r="E62" s="10" t="s">
        <v>64</v>
      </c>
      <c r="F62" s="9" t="s">
        <v>111</v>
      </c>
    </row>
    <row r="63" ht="20.4" spans="1:6">
      <c r="A63" s="8" t="s">
        <v>112</v>
      </c>
      <c r="B63" s="9" t="s">
        <v>113</v>
      </c>
      <c r="C63" s="10" t="s">
        <v>114</v>
      </c>
      <c r="D63" s="10" t="s">
        <v>95</v>
      </c>
      <c r="E63" s="10" t="s">
        <v>54</v>
      </c>
      <c r="F63" s="9" t="s">
        <v>115</v>
      </c>
    </row>
    <row r="64" ht="20.4" spans="1:6">
      <c r="A64" s="8" t="s">
        <v>116</v>
      </c>
      <c r="B64" s="9" t="s">
        <v>117</v>
      </c>
      <c r="C64" s="10" t="s">
        <v>82</v>
      </c>
      <c r="D64" s="10" t="s">
        <v>95</v>
      </c>
      <c r="E64" s="10" t="s">
        <v>59</v>
      </c>
      <c r="F64" s="9" t="s">
        <v>83</v>
      </c>
    </row>
    <row r="65" ht="20.4" spans="1:6">
      <c r="A65" s="8" t="s">
        <v>118</v>
      </c>
      <c r="B65" s="9" t="s">
        <v>119</v>
      </c>
      <c r="C65" s="10" t="s">
        <v>58</v>
      </c>
      <c r="D65" s="10" t="s">
        <v>75</v>
      </c>
      <c r="E65" s="10" t="s">
        <v>64</v>
      </c>
      <c r="F65" s="9" t="s">
        <v>86</v>
      </c>
    </row>
    <row r="66" ht="20.4" spans="1:6">
      <c r="A66" s="8" t="s">
        <v>120</v>
      </c>
      <c r="B66" s="9" t="s">
        <v>81</v>
      </c>
      <c r="C66" s="10" t="s">
        <v>114</v>
      </c>
      <c r="D66" s="10" t="s">
        <v>75</v>
      </c>
      <c r="E66" s="10" t="s">
        <v>68</v>
      </c>
      <c r="F66" s="9" t="s">
        <v>89</v>
      </c>
    </row>
    <row r="67" ht="20.4" spans="1:6">
      <c r="A67" s="8" t="s">
        <v>121</v>
      </c>
      <c r="B67" s="9" t="s">
        <v>91</v>
      </c>
      <c r="C67" s="10" t="s">
        <v>122</v>
      </c>
      <c r="D67" s="10" t="s">
        <v>53</v>
      </c>
      <c r="E67" s="10" t="s">
        <v>54</v>
      </c>
      <c r="F67" s="9" t="s">
        <v>92</v>
      </c>
    </row>
    <row r="68" ht="20.4" spans="1:6">
      <c r="A68" s="8" t="s">
        <v>123</v>
      </c>
      <c r="B68" s="9" t="s">
        <v>124</v>
      </c>
      <c r="C68" s="10" t="s">
        <v>122</v>
      </c>
      <c r="D68" s="10" t="s">
        <v>53</v>
      </c>
      <c r="E68" s="10" t="s">
        <v>59</v>
      </c>
      <c r="F68" s="9" t="s">
        <v>96</v>
      </c>
    </row>
    <row r="69" ht="20.4" spans="1:6">
      <c r="A69" s="8" t="s">
        <v>125</v>
      </c>
      <c r="B69" s="9" t="s">
        <v>126</v>
      </c>
      <c r="C69" s="10" t="s">
        <v>52</v>
      </c>
      <c r="D69" s="10" t="s">
        <v>53</v>
      </c>
      <c r="E69" s="10" t="s">
        <v>59</v>
      </c>
      <c r="F69" s="9" t="s">
        <v>55</v>
      </c>
    </row>
    <row r="70" ht="20.4" spans="1:6">
      <c r="A70" s="8" t="s">
        <v>127</v>
      </c>
      <c r="B70" s="9" t="s">
        <v>128</v>
      </c>
      <c r="C70" s="10" t="s">
        <v>122</v>
      </c>
      <c r="D70" s="10" t="s">
        <v>47</v>
      </c>
      <c r="E70" s="10" t="s">
        <v>54</v>
      </c>
      <c r="F70" s="9" t="s">
        <v>60</v>
      </c>
    </row>
    <row r="71" ht="20.4" spans="1:6">
      <c r="A71" s="8" t="s">
        <v>129</v>
      </c>
      <c r="B71" s="9" t="s">
        <v>130</v>
      </c>
      <c r="C71" s="10" t="s">
        <v>114</v>
      </c>
      <c r="D71" s="10" t="s">
        <v>95</v>
      </c>
      <c r="E71" s="10" t="s">
        <v>68</v>
      </c>
      <c r="F71" s="9" t="s">
        <v>65</v>
      </c>
    </row>
    <row r="72" ht="20.4" spans="1:6">
      <c r="A72" s="8" t="s">
        <v>131</v>
      </c>
      <c r="B72" s="9" t="s">
        <v>132</v>
      </c>
      <c r="C72" s="10" t="s">
        <v>46</v>
      </c>
      <c r="D72" s="10" t="s">
        <v>47</v>
      </c>
      <c r="E72" s="10" t="s">
        <v>68</v>
      </c>
      <c r="F72" s="9" t="s">
        <v>69</v>
      </c>
    </row>
    <row r="73" ht="20.4" spans="1:6">
      <c r="A73" s="12" t="s">
        <v>133</v>
      </c>
      <c r="B73" s="13" t="s">
        <v>78</v>
      </c>
      <c r="C73" s="14" t="s">
        <v>58</v>
      </c>
      <c r="D73" s="14" t="s">
        <v>53</v>
      </c>
      <c r="E73" s="14" t="s">
        <v>64</v>
      </c>
      <c r="F73" s="13" t="s">
        <v>60</v>
      </c>
    </row>
  </sheetData>
  <sortState ref="A30:K39">
    <sortCondition ref="B30:B39"/>
    <sortCondition ref="K30:K39"/>
  </sortState>
  <mergeCells count="2">
    <mergeCell ref="F18:H18"/>
    <mergeCell ref="A26:E26"/>
  </mergeCells>
  <pageMargins left="0.75" right="0.75" top="1" bottom="1" header="0.5" footer="0.5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>
                  <from>
                    <xdr:col>1</xdr:col>
                    <xdr:colOff>129540</xdr:colOff>
                    <xdr:row>45</xdr:row>
                    <xdr:rowOff>137795</xdr:rowOff>
                  </from>
                  <to>
                    <xdr:col>1</xdr:col>
                    <xdr:colOff>1356360</xdr:colOff>
                    <xdr:row>47</xdr:row>
                    <xdr:rowOff>53975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2"/>
  <dimension ref="A1:M22"/>
  <sheetViews>
    <sheetView zoomScale="79" zoomScaleNormal="79" topLeftCell="B1" workbookViewId="0">
      <selection activeCell="F19" sqref="F19"/>
    </sheetView>
  </sheetViews>
  <sheetFormatPr defaultColWidth="9" defaultRowHeight="14.4"/>
  <cols>
    <col min="2" max="2" width="22.5555555555556" customWidth="1"/>
    <col min="3" max="3" width="13.4444444444444" customWidth="1"/>
    <col min="4" max="4" width="11.6666666666667" customWidth="1"/>
  </cols>
  <sheetData>
    <row r="1" spans="1:13">
      <c r="A1" t="s">
        <v>134</v>
      </c>
      <c r="B1" t="s">
        <v>135</v>
      </c>
      <c r="C1" s="35" t="s">
        <v>136</v>
      </c>
      <c r="D1" s="36" t="s">
        <v>137</v>
      </c>
      <c r="F1" s="37" t="s">
        <v>138</v>
      </c>
      <c r="G1" s="37" t="s">
        <v>139</v>
      </c>
      <c r="I1" s="42"/>
      <c r="J1" s="43" t="s">
        <v>134</v>
      </c>
      <c r="K1" s="37" t="s">
        <v>135</v>
      </c>
      <c r="L1" s="44" t="s">
        <v>136</v>
      </c>
      <c r="M1" s="43" t="s">
        <v>137</v>
      </c>
    </row>
    <row r="2" spans="1:13">
      <c r="A2">
        <v>-10</v>
      </c>
      <c r="B2">
        <f>5*A2^3-4</f>
        <v>-5004</v>
      </c>
      <c r="C2">
        <f>80*A2^2-300</f>
        <v>7700</v>
      </c>
      <c r="D2">
        <f>B2-C2</f>
        <v>-12704</v>
      </c>
      <c r="F2" s="38">
        <v>0.928284171214262</v>
      </c>
      <c r="G2" s="39">
        <f>5*F2^3-4</f>
        <v>-0.000434260254872143</v>
      </c>
      <c r="H2" s="40"/>
      <c r="I2" s="43" t="s">
        <v>138</v>
      </c>
      <c r="J2" s="38">
        <v>-1.82253691667376</v>
      </c>
      <c r="K2" s="37">
        <f t="shared" ref="K2:K3" si="0">5*J2^3-4</f>
        <v>-34.2690650248215</v>
      </c>
      <c r="L2" s="37">
        <f t="shared" ref="L2:L3" si="1">80*J2^2-300</f>
        <v>-34.2687349889029</v>
      </c>
      <c r="M2" s="39">
        <f t="shared" ref="M2:M3" si="2">K2-L2</f>
        <v>-0.000330035918594263</v>
      </c>
    </row>
    <row r="3" spans="1:13">
      <c r="A3">
        <v>-9</v>
      </c>
      <c r="B3">
        <f t="shared" ref="B3:B22" si="3">5*A3^3-4</f>
        <v>-3649</v>
      </c>
      <c r="C3">
        <f t="shared" ref="C3:C22" si="4">80*A3^2-300</f>
        <v>6180</v>
      </c>
      <c r="D3">
        <f t="shared" ref="D3:D22" si="5">B3-C3</f>
        <v>-9829</v>
      </c>
      <c r="F3" s="41">
        <v>0.928319051678923</v>
      </c>
      <c r="G3" s="39">
        <f>5*F3^3-4</f>
        <v>1.66101504328608e-5</v>
      </c>
      <c r="H3" s="40"/>
      <c r="I3" s="43" t="s">
        <v>140</v>
      </c>
      <c r="J3" s="41">
        <v>2.06082757151755</v>
      </c>
      <c r="K3" s="37">
        <f t="shared" si="0"/>
        <v>39.7617794028374</v>
      </c>
      <c r="L3" s="37">
        <f t="shared" si="1"/>
        <v>39.7608223621525</v>
      </c>
      <c r="M3" s="39">
        <f t="shared" si="2"/>
        <v>0.00095704068498037</v>
      </c>
    </row>
    <row r="4" spans="1:4">
      <c r="A4">
        <v>-8</v>
      </c>
      <c r="B4">
        <f t="shared" si="3"/>
        <v>-2564</v>
      </c>
      <c r="C4">
        <f t="shared" si="4"/>
        <v>4820</v>
      </c>
      <c r="D4">
        <f t="shared" si="5"/>
        <v>-7384</v>
      </c>
    </row>
    <row r="5" spans="1:4">
      <c r="A5">
        <v>-7</v>
      </c>
      <c r="B5">
        <f t="shared" si="3"/>
        <v>-1719</v>
      </c>
      <c r="C5">
        <f t="shared" si="4"/>
        <v>3620</v>
      </c>
      <c r="D5">
        <f t="shared" si="5"/>
        <v>-5339</v>
      </c>
    </row>
    <row r="6" spans="1:4">
      <c r="A6">
        <v>-6</v>
      </c>
      <c r="B6">
        <f t="shared" si="3"/>
        <v>-1084</v>
      </c>
      <c r="C6">
        <f t="shared" si="4"/>
        <v>2580</v>
      </c>
      <c r="D6">
        <f t="shared" si="5"/>
        <v>-3664</v>
      </c>
    </row>
    <row r="7" spans="1:4">
      <c r="A7">
        <v>-5</v>
      </c>
      <c r="B7">
        <f t="shared" si="3"/>
        <v>-629</v>
      </c>
      <c r="C7">
        <f t="shared" si="4"/>
        <v>1700</v>
      </c>
      <c r="D7">
        <f t="shared" si="5"/>
        <v>-2329</v>
      </c>
    </row>
    <row r="8" spans="1:4">
      <c r="A8">
        <v>-4</v>
      </c>
      <c r="B8">
        <f t="shared" si="3"/>
        <v>-324</v>
      </c>
      <c r="C8">
        <f t="shared" si="4"/>
        <v>980</v>
      </c>
      <c r="D8">
        <f t="shared" si="5"/>
        <v>-1304</v>
      </c>
    </row>
    <row r="9" spans="1:4">
      <c r="A9">
        <v>-3</v>
      </c>
      <c r="B9">
        <f t="shared" si="3"/>
        <v>-139</v>
      </c>
      <c r="C9">
        <f t="shared" si="4"/>
        <v>420</v>
      </c>
      <c r="D9">
        <f t="shared" si="5"/>
        <v>-559</v>
      </c>
    </row>
    <row r="10" spans="1:4">
      <c r="A10">
        <v>-2</v>
      </c>
      <c r="B10">
        <f t="shared" si="3"/>
        <v>-44</v>
      </c>
      <c r="C10">
        <f t="shared" si="4"/>
        <v>20</v>
      </c>
      <c r="D10">
        <f t="shared" si="5"/>
        <v>-64</v>
      </c>
    </row>
    <row r="11" spans="1:4">
      <c r="A11">
        <v>-1</v>
      </c>
      <c r="B11">
        <f t="shared" si="3"/>
        <v>-9</v>
      </c>
      <c r="C11">
        <f t="shared" si="4"/>
        <v>-220</v>
      </c>
      <c r="D11">
        <f t="shared" si="5"/>
        <v>211</v>
      </c>
    </row>
    <row r="12" spans="1:4">
      <c r="A12">
        <v>0</v>
      </c>
      <c r="B12">
        <f t="shared" si="3"/>
        <v>-4</v>
      </c>
      <c r="C12">
        <f t="shared" si="4"/>
        <v>-300</v>
      </c>
      <c r="D12">
        <f t="shared" si="5"/>
        <v>296</v>
      </c>
    </row>
    <row r="13" spans="1:4">
      <c r="A13">
        <v>1</v>
      </c>
      <c r="B13">
        <f t="shared" si="3"/>
        <v>1</v>
      </c>
      <c r="C13">
        <f t="shared" si="4"/>
        <v>-220</v>
      </c>
      <c r="D13">
        <f t="shared" si="5"/>
        <v>221</v>
      </c>
    </row>
    <row r="14" spans="1:4">
      <c r="A14">
        <v>2</v>
      </c>
      <c r="B14">
        <f t="shared" si="3"/>
        <v>36</v>
      </c>
      <c r="C14">
        <f t="shared" si="4"/>
        <v>20</v>
      </c>
      <c r="D14">
        <f t="shared" si="5"/>
        <v>16</v>
      </c>
    </row>
    <row r="15" spans="1:4">
      <c r="A15">
        <v>3</v>
      </c>
      <c r="B15">
        <f t="shared" si="3"/>
        <v>131</v>
      </c>
      <c r="C15">
        <f t="shared" si="4"/>
        <v>420</v>
      </c>
      <c r="D15">
        <f t="shared" si="5"/>
        <v>-289</v>
      </c>
    </row>
    <row r="16" spans="1:4">
      <c r="A16">
        <v>4</v>
      </c>
      <c r="B16">
        <f t="shared" si="3"/>
        <v>316</v>
      </c>
      <c r="C16">
        <f t="shared" si="4"/>
        <v>980</v>
      </c>
      <c r="D16">
        <f t="shared" si="5"/>
        <v>-664</v>
      </c>
    </row>
    <row r="17" spans="1:4">
      <c r="A17">
        <v>5</v>
      </c>
      <c r="B17">
        <f t="shared" si="3"/>
        <v>621</v>
      </c>
      <c r="C17">
        <f t="shared" si="4"/>
        <v>1700</v>
      </c>
      <c r="D17">
        <f t="shared" si="5"/>
        <v>-1079</v>
      </c>
    </row>
    <row r="18" spans="1:4">
      <c r="A18">
        <v>6</v>
      </c>
      <c r="B18">
        <f t="shared" si="3"/>
        <v>1076</v>
      </c>
      <c r="C18">
        <f t="shared" si="4"/>
        <v>2580</v>
      </c>
      <c r="D18">
        <f t="shared" si="5"/>
        <v>-1504</v>
      </c>
    </row>
    <row r="19" spans="1:4">
      <c r="A19">
        <v>7</v>
      </c>
      <c r="B19">
        <f t="shared" si="3"/>
        <v>1711</v>
      </c>
      <c r="C19">
        <f t="shared" si="4"/>
        <v>3620</v>
      </c>
      <c r="D19">
        <f t="shared" si="5"/>
        <v>-1909</v>
      </c>
    </row>
    <row r="20" spans="1:4">
      <c r="A20">
        <v>8</v>
      </c>
      <c r="B20">
        <f t="shared" si="3"/>
        <v>2556</v>
      </c>
      <c r="C20">
        <f t="shared" si="4"/>
        <v>4820</v>
      </c>
      <c r="D20">
        <f t="shared" si="5"/>
        <v>-2264</v>
      </c>
    </row>
    <row r="21" spans="1:4">
      <c r="A21">
        <v>9</v>
      </c>
      <c r="B21">
        <f t="shared" si="3"/>
        <v>3641</v>
      </c>
      <c r="C21">
        <f t="shared" si="4"/>
        <v>6180</v>
      </c>
      <c r="D21">
        <f t="shared" si="5"/>
        <v>-2539</v>
      </c>
    </row>
    <row r="22" spans="1:4">
      <c r="A22">
        <v>10</v>
      </c>
      <c r="B22">
        <f t="shared" si="3"/>
        <v>4996</v>
      </c>
      <c r="C22">
        <f t="shared" si="4"/>
        <v>7700</v>
      </c>
      <c r="D22">
        <f t="shared" si="5"/>
        <v>-2704</v>
      </c>
    </row>
  </sheetData>
  <pageMargins left="0.7" right="0.7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>
                  <from>
                    <xdr:col>5</xdr:col>
                    <xdr:colOff>7620</xdr:colOff>
                    <xdr:row>5</xdr:row>
                    <xdr:rowOff>106680</xdr:rowOff>
                  </from>
                  <to>
                    <xdr:col>7</xdr:col>
                    <xdr:colOff>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3"/>
  <dimension ref="A1:G42"/>
  <sheetViews>
    <sheetView zoomScale="60" zoomScaleNormal="60" workbookViewId="0">
      <selection activeCell="E27" sqref="E27"/>
    </sheetView>
  </sheetViews>
  <sheetFormatPr defaultColWidth="9" defaultRowHeight="14.4" outlineLevelCol="6"/>
  <cols>
    <col min="1" max="1" width="39.6666666666667" customWidth="1"/>
    <col min="2" max="2" width="10.5555555555556" customWidth="1"/>
    <col min="3" max="3" width="13.4444444444444" customWidth="1"/>
    <col min="5" max="5" width="23.6666666666667" customWidth="1"/>
    <col min="6" max="6" width="15.4444444444444" customWidth="1"/>
    <col min="7" max="7" width="13.5555555555556" customWidth="1"/>
  </cols>
  <sheetData>
    <row r="1" ht="15.15" spans="1:7">
      <c r="A1" s="16" t="s">
        <v>141</v>
      </c>
      <c r="B1" s="16" t="s">
        <v>142</v>
      </c>
      <c r="C1" s="16"/>
      <c r="E1" s="16" t="s">
        <v>143</v>
      </c>
      <c r="F1" s="16" t="s">
        <v>144</v>
      </c>
      <c r="G1" s="16"/>
    </row>
    <row r="2" spans="1:7">
      <c r="A2" s="17" t="s">
        <v>145</v>
      </c>
      <c r="B2" s="18" t="s">
        <v>146</v>
      </c>
      <c r="C2" s="19" t="s">
        <v>147</v>
      </c>
      <c r="E2" s="17" t="s">
        <v>145</v>
      </c>
      <c r="F2" s="18">
        <v>1640</v>
      </c>
      <c r="G2" s="19" t="s">
        <v>147</v>
      </c>
    </row>
    <row r="3" spans="1:7">
      <c r="A3" s="20" t="s">
        <v>148</v>
      </c>
      <c r="B3" s="21" t="s">
        <v>149</v>
      </c>
      <c r="C3" s="22" t="s">
        <v>150</v>
      </c>
      <c r="E3" s="20" t="s">
        <v>148</v>
      </c>
      <c r="F3" s="21" t="s">
        <v>149</v>
      </c>
      <c r="G3" s="22" t="s">
        <v>150</v>
      </c>
    </row>
    <row r="4" spans="1:7">
      <c r="A4" s="23" t="s">
        <v>151</v>
      </c>
      <c r="B4" s="21" t="s">
        <v>152</v>
      </c>
      <c r="C4" s="24" t="s">
        <v>153</v>
      </c>
      <c r="E4" s="23" t="s">
        <v>151</v>
      </c>
      <c r="F4" s="21" t="s">
        <v>152</v>
      </c>
      <c r="G4" s="24" t="s">
        <v>153</v>
      </c>
    </row>
    <row r="5" spans="1:7">
      <c r="A5" s="23" t="s">
        <v>154</v>
      </c>
      <c r="B5" s="21" t="s">
        <v>155</v>
      </c>
      <c r="C5" s="24" t="s">
        <v>156</v>
      </c>
      <c r="E5" s="23" t="s">
        <v>154</v>
      </c>
      <c r="F5" s="25">
        <v>0.954210628019324</v>
      </c>
      <c r="G5" s="24" t="s">
        <v>156</v>
      </c>
    </row>
    <row r="6" spans="1:7">
      <c r="A6" s="23" t="s">
        <v>157</v>
      </c>
      <c r="B6" s="21">
        <v>4140</v>
      </c>
      <c r="C6" s="24" t="s">
        <v>158</v>
      </c>
      <c r="E6" s="23" t="s">
        <v>157</v>
      </c>
      <c r="F6" s="21">
        <v>4140</v>
      </c>
      <c r="G6" s="24" t="s">
        <v>158</v>
      </c>
    </row>
    <row r="7" ht="15.15" spans="1:7">
      <c r="A7" s="26" t="s">
        <v>159</v>
      </c>
      <c r="B7" s="27">
        <f>B2*B3/100*B4-B6*B5</f>
        <v>-3462.4</v>
      </c>
      <c r="C7" s="28" t="s">
        <v>160</v>
      </c>
      <c r="E7" s="26" t="s">
        <v>159</v>
      </c>
      <c r="F7" s="27">
        <f>F2*F3/100*F4-F6*F5</f>
        <v>0</v>
      </c>
      <c r="G7" s="28" t="s">
        <v>160</v>
      </c>
    </row>
    <row r="10" ht="15.15" spans="1:7">
      <c r="A10" s="16" t="s">
        <v>141</v>
      </c>
      <c r="B10" s="16" t="s">
        <v>161</v>
      </c>
      <c r="C10" s="16"/>
      <c r="E10" s="16" t="s">
        <v>143</v>
      </c>
      <c r="F10" s="16" t="s">
        <v>162</v>
      </c>
      <c r="G10" s="16"/>
    </row>
    <row r="11" spans="1:7">
      <c r="A11" s="17" t="s">
        <v>145</v>
      </c>
      <c r="B11" s="18" t="s">
        <v>146</v>
      </c>
      <c r="C11" s="19" t="s">
        <v>147</v>
      </c>
      <c r="E11" s="17" t="s">
        <v>145</v>
      </c>
      <c r="F11" s="18">
        <v>1640</v>
      </c>
      <c r="G11" s="19" t="s">
        <v>147</v>
      </c>
    </row>
    <row r="12" spans="1:7">
      <c r="A12" s="20" t="s">
        <v>148</v>
      </c>
      <c r="B12" s="21" t="s">
        <v>149</v>
      </c>
      <c r="C12" s="22" t="s">
        <v>150</v>
      </c>
      <c r="E12" s="20" t="s">
        <v>148</v>
      </c>
      <c r="F12" s="25">
        <v>16.7677864091826</v>
      </c>
      <c r="G12" s="22" t="s">
        <v>150</v>
      </c>
    </row>
    <row r="13" spans="1:7">
      <c r="A13" s="23" t="s">
        <v>151</v>
      </c>
      <c r="B13" s="21" t="s">
        <v>152</v>
      </c>
      <c r="C13" s="24" t="s">
        <v>153</v>
      </c>
      <c r="E13" s="23" t="s">
        <v>151</v>
      </c>
      <c r="F13" s="21" t="s">
        <v>152</v>
      </c>
      <c r="G13" s="24" t="s">
        <v>153</v>
      </c>
    </row>
    <row r="14" spans="1:7">
      <c r="A14" s="23" t="s">
        <v>154</v>
      </c>
      <c r="B14" s="21" t="s">
        <v>155</v>
      </c>
      <c r="C14" s="24" t="s">
        <v>156</v>
      </c>
      <c r="E14" s="23" t="s">
        <v>154</v>
      </c>
      <c r="F14" s="21">
        <v>2</v>
      </c>
      <c r="G14" s="24" t="s">
        <v>156</v>
      </c>
    </row>
    <row r="15" spans="1:7">
      <c r="A15" s="23" t="s">
        <v>157</v>
      </c>
      <c r="B15" s="25">
        <v>2408.8</v>
      </c>
      <c r="C15" s="24" t="s">
        <v>158</v>
      </c>
      <c r="E15" s="23" t="s">
        <v>157</v>
      </c>
      <c r="F15" s="21">
        <v>4140</v>
      </c>
      <c r="G15" s="24" t="s">
        <v>158</v>
      </c>
    </row>
    <row r="16" ht="15.15" spans="1:7">
      <c r="A16" s="26" t="s">
        <v>159</v>
      </c>
      <c r="B16" s="27">
        <f>B11*B12/100*B13-B15*B14</f>
        <v>0</v>
      </c>
      <c r="C16" s="28" t="s">
        <v>160</v>
      </c>
      <c r="E16" s="26" t="s">
        <v>159</v>
      </c>
      <c r="F16" s="27">
        <f>F11*F12/100*F13-F15*F14</f>
        <v>0</v>
      </c>
      <c r="G16" s="28" t="s">
        <v>160</v>
      </c>
    </row>
    <row r="17" spans="1:4">
      <c r="A17" s="16"/>
      <c r="B17" s="16"/>
      <c r="C17" s="16"/>
      <c r="D17" s="29"/>
    </row>
    <row r="18" spans="1:4">
      <c r="A18" s="30"/>
      <c r="B18" s="31"/>
      <c r="C18" s="30"/>
      <c r="D18" s="29"/>
    </row>
    <row r="19" ht="15.15" spans="1:4">
      <c r="A19" s="16" t="s">
        <v>141</v>
      </c>
      <c r="B19" s="16" t="s">
        <v>144</v>
      </c>
      <c r="C19" s="16"/>
      <c r="D19" s="29"/>
    </row>
    <row r="20" spans="1:4">
      <c r="A20" s="17" t="s">
        <v>145</v>
      </c>
      <c r="B20" s="18" t="s">
        <v>146</v>
      </c>
      <c r="C20" s="19" t="s">
        <v>147</v>
      </c>
      <c r="D20" s="29"/>
    </row>
    <row r="21" spans="1:4">
      <c r="A21" s="20" t="s">
        <v>148</v>
      </c>
      <c r="B21" s="21" t="s">
        <v>149</v>
      </c>
      <c r="C21" s="22" t="s">
        <v>150</v>
      </c>
      <c r="D21" s="29"/>
    </row>
    <row r="22" spans="1:4">
      <c r="A22" s="23" t="s">
        <v>151</v>
      </c>
      <c r="B22" s="21" t="s">
        <v>152</v>
      </c>
      <c r="C22" s="24" t="s">
        <v>153</v>
      </c>
      <c r="D22" s="29"/>
    </row>
    <row r="23" spans="1:4">
      <c r="A23" s="23" t="s">
        <v>154</v>
      </c>
      <c r="B23" s="25">
        <v>1.16367149758454</v>
      </c>
      <c r="C23" s="24" t="s">
        <v>156</v>
      </c>
      <c r="D23" s="29"/>
    </row>
    <row r="24" spans="1:4">
      <c r="A24" s="23" t="s">
        <v>157</v>
      </c>
      <c r="B24" s="21">
        <v>4140</v>
      </c>
      <c r="C24" s="24" t="s">
        <v>158</v>
      </c>
      <c r="D24" s="29"/>
    </row>
    <row r="25" ht="15.15" spans="1:4">
      <c r="A25" s="26" t="s">
        <v>159</v>
      </c>
      <c r="B25" s="27">
        <f>B20*B21/100*B22-B24*B23</f>
        <v>0</v>
      </c>
      <c r="C25" s="28" t="s">
        <v>160</v>
      </c>
      <c r="D25" s="29"/>
    </row>
    <row r="26" spans="1:4">
      <c r="A26" s="16"/>
      <c r="B26" s="16"/>
      <c r="C26" s="16"/>
      <c r="D26" s="16"/>
    </row>
    <row r="27" ht="15.15" spans="1:4">
      <c r="A27" s="16" t="s">
        <v>141</v>
      </c>
      <c r="B27" s="16" t="s">
        <v>163</v>
      </c>
      <c r="C27" s="16"/>
      <c r="D27" s="29"/>
    </row>
    <row r="28" spans="1:3">
      <c r="A28" s="17" t="s">
        <v>145</v>
      </c>
      <c r="B28" s="18" t="s">
        <v>146</v>
      </c>
      <c r="C28" s="19" t="s">
        <v>147</v>
      </c>
    </row>
    <row r="29" spans="1:3">
      <c r="A29" s="20" t="s">
        <v>148</v>
      </c>
      <c r="B29" s="21" t="s">
        <v>149</v>
      </c>
      <c r="C29" s="22" t="s">
        <v>150</v>
      </c>
    </row>
    <row r="30" spans="1:3">
      <c r="A30" s="23" t="s">
        <v>151</v>
      </c>
      <c r="B30" s="25">
        <v>51.75</v>
      </c>
      <c r="C30" s="24" t="s">
        <v>153</v>
      </c>
    </row>
    <row r="31" spans="1:3">
      <c r="A31" s="23" t="s">
        <v>154</v>
      </c>
      <c r="B31" s="21" t="s">
        <v>155</v>
      </c>
      <c r="C31" s="24" t="s">
        <v>156</v>
      </c>
    </row>
    <row r="32" spans="1:3">
      <c r="A32" s="23" t="s">
        <v>157</v>
      </c>
      <c r="B32" s="21">
        <v>4140</v>
      </c>
      <c r="C32" s="24" t="s">
        <v>158</v>
      </c>
    </row>
    <row r="33" ht="15.15" spans="1:3">
      <c r="A33" s="26" t="s">
        <v>159</v>
      </c>
      <c r="B33" s="27">
        <f>B28*B29/100*B30-B32*B31</f>
        <v>0</v>
      </c>
      <c r="C33" s="28" t="s">
        <v>160</v>
      </c>
    </row>
    <row r="38" spans="1:4">
      <c r="A38" s="30"/>
      <c r="B38" s="31"/>
      <c r="C38" s="30"/>
      <c r="D38" s="29"/>
    </row>
    <row r="39" spans="1:4">
      <c r="A39" s="30"/>
      <c r="B39" s="31"/>
      <c r="C39" s="30"/>
      <c r="D39" s="29"/>
    </row>
    <row r="40" spans="1:4">
      <c r="A40" s="30"/>
      <c r="B40" s="31"/>
      <c r="C40" s="30"/>
      <c r="D40" s="29"/>
    </row>
    <row r="41" spans="1:4">
      <c r="A41" s="32"/>
      <c r="B41" s="33"/>
      <c r="C41" s="32"/>
      <c r="D41" s="29"/>
    </row>
    <row r="42" spans="1:4">
      <c r="A42" s="34"/>
      <c r="B42" s="34"/>
      <c r="C42" s="34"/>
      <c r="D42" s="34"/>
    </row>
  </sheetData>
  <mergeCells count="8">
    <mergeCell ref="B1:C1"/>
    <mergeCell ref="F1:G1"/>
    <mergeCell ref="B10:C10"/>
    <mergeCell ref="F10:G10"/>
    <mergeCell ref="B17:C17"/>
    <mergeCell ref="B19:C19"/>
    <mergeCell ref="B26:D26"/>
    <mergeCell ref="B27:C27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>
                  <from>
                    <xdr:col>4</xdr:col>
                    <xdr:colOff>15240</xdr:colOff>
                    <xdr:row>18</xdr:row>
                    <xdr:rowOff>170180</xdr:rowOff>
                  </from>
                  <to>
                    <xdr:col>4</xdr:col>
                    <xdr:colOff>1244600</xdr:colOff>
                    <xdr:row>21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4"/>
  <dimension ref="A1"/>
  <sheetViews>
    <sheetView workbookViewId="0">
      <selection activeCell="E7" sqref="E7"/>
    </sheetView>
  </sheetViews>
  <sheetFormatPr defaultColWidth="9" defaultRowHeight="14.4"/>
  <sheetData/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>
                  <from>
                    <xdr:col>1</xdr:col>
                    <xdr:colOff>15240</xdr:colOff>
                    <xdr:row>5</xdr:row>
                    <xdr:rowOff>60960</xdr:rowOff>
                  </from>
                  <to>
                    <xdr:col>2</xdr:col>
                    <xdr:colOff>609600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>
                  <from>
                    <xdr:col>1</xdr:col>
                    <xdr:colOff>7620</xdr:colOff>
                    <xdr:row>9</xdr:row>
                    <xdr:rowOff>60960</xdr:rowOff>
                  </from>
                  <to>
                    <xdr:col>3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Button 5" r:id="rId5">
              <controlPr print="0" defaultSize="0">
                <anchor moveWithCells="1" sizeWithCells="1">
                  <from>
                    <xdr:col>1</xdr:col>
                    <xdr:colOff>0</xdr:colOff>
                    <xdr:row>1</xdr:row>
                    <xdr:rowOff>167640</xdr:rowOff>
                  </from>
                  <to>
                    <xdr:col>2</xdr:col>
                    <xdr:colOff>601980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T31"/>
  <sheetViews>
    <sheetView tabSelected="1" zoomScale="50" zoomScaleNormal="50" workbookViewId="0">
      <selection activeCell="K13" sqref="K13"/>
    </sheetView>
  </sheetViews>
  <sheetFormatPr defaultColWidth="8.88888888888889" defaultRowHeight="14.4"/>
  <cols>
    <col min="1" max="1" width="18.4444444444444" customWidth="1"/>
    <col min="2" max="2" width="30.7777777777778" customWidth="1"/>
    <col min="3" max="3" width="17.2222222222222" customWidth="1"/>
    <col min="4" max="4" width="39.6666666666667" customWidth="1"/>
    <col min="5" max="5" width="17.8888888888889" customWidth="1"/>
    <col min="6" max="6" width="17" customWidth="1"/>
    <col min="8" max="8" width="12.2222222222222"/>
    <col min="9" max="9" width="25.4444444444444"/>
    <col min="10" max="10" width="19.2222222222222"/>
    <col min="11" max="11" width="25.4444444444444"/>
    <col min="12" max="19" width="10.7777777777778"/>
    <col min="20" max="20" width="12.1111111111111"/>
  </cols>
  <sheetData>
    <row r="1" ht="21.75" spans="1:12">
      <c r="A1" s="1" t="s">
        <v>38</v>
      </c>
      <c r="B1" s="1" t="s">
        <v>39</v>
      </c>
      <c r="C1" s="1" t="s">
        <v>40</v>
      </c>
      <c r="D1" s="2" t="s">
        <v>41</v>
      </c>
      <c r="E1" s="1" t="s">
        <v>42</v>
      </c>
      <c r="F1" s="3" t="s">
        <v>43</v>
      </c>
      <c r="H1" t="s">
        <v>40</v>
      </c>
      <c r="I1" t="s">
        <v>41</v>
      </c>
      <c r="J1" t="s">
        <v>164</v>
      </c>
      <c r="K1" t="s">
        <v>164</v>
      </c>
      <c r="L1" t="s">
        <v>40</v>
      </c>
    </row>
    <row r="2" ht="20.4" spans="1:20">
      <c r="A2" s="4" t="s">
        <v>44</v>
      </c>
      <c r="B2" s="5" t="s">
        <v>45</v>
      </c>
      <c r="C2" s="6" t="s">
        <v>46</v>
      </c>
      <c r="D2" s="6" t="s">
        <v>47</v>
      </c>
      <c r="E2" s="6" t="s">
        <v>48</v>
      </c>
      <c r="F2" s="7" t="s">
        <v>49</v>
      </c>
      <c r="H2" t="s">
        <v>82</v>
      </c>
      <c r="I2"/>
      <c r="J2">
        <v>3</v>
      </c>
      <c r="K2" t="s">
        <v>41</v>
      </c>
      <c r="L2" t="s">
        <v>82</v>
      </c>
      <c r="M2" t="s">
        <v>74</v>
      </c>
      <c r="N2" t="s">
        <v>46</v>
      </c>
      <c r="O2" t="s">
        <v>122</v>
      </c>
      <c r="P2" t="s">
        <v>63</v>
      </c>
      <c r="Q2" t="s">
        <v>114</v>
      </c>
      <c r="R2" t="s">
        <v>58</v>
      </c>
      <c r="S2" t="s">
        <v>52</v>
      </c>
      <c r="T2" t="s">
        <v>165</v>
      </c>
    </row>
    <row r="3" ht="20.4" spans="1:20">
      <c r="A3" s="8" t="s">
        <v>50</v>
      </c>
      <c r="B3" s="9" t="s">
        <v>51</v>
      </c>
      <c r="C3" s="10" t="s">
        <v>52</v>
      </c>
      <c r="D3" s="10" t="s">
        <v>53</v>
      </c>
      <c r="E3" s="10" t="s">
        <v>54</v>
      </c>
      <c r="F3" s="11" t="s">
        <v>55</v>
      </c>
      <c r="I3" t="s">
        <v>95</v>
      </c>
      <c r="J3">
        <v>1</v>
      </c>
      <c r="K3" t="s">
        <v>95</v>
      </c>
      <c r="L3">
        <v>1</v>
      </c>
      <c r="M3"/>
      <c r="N3">
        <v>1</v>
      </c>
      <c r="O3"/>
      <c r="P3">
        <v>1</v>
      </c>
      <c r="Q3">
        <v>2</v>
      </c>
      <c r="R3"/>
      <c r="S3">
        <v>1</v>
      </c>
      <c r="T3">
        <v>6</v>
      </c>
    </row>
    <row r="4" ht="20.4" spans="1:20">
      <c r="A4" s="8" t="s">
        <v>56</v>
      </c>
      <c r="B4" s="9" t="s">
        <v>57</v>
      </c>
      <c r="C4" s="10" t="s">
        <v>58</v>
      </c>
      <c r="D4" s="10" t="s">
        <v>47</v>
      </c>
      <c r="E4" s="10" t="s">
        <v>59</v>
      </c>
      <c r="F4" s="11" t="s">
        <v>60</v>
      </c>
      <c r="I4" t="s">
        <v>75</v>
      </c>
      <c r="J4">
        <v>1</v>
      </c>
      <c r="K4" t="s">
        <v>75</v>
      </c>
      <c r="L4">
        <v>1</v>
      </c>
      <c r="M4">
        <v>2</v>
      </c>
      <c r="N4">
        <v>1</v>
      </c>
      <c r="O4"/>
      <c r="P4"/>
      <c r="Q4">
        <v>1</v>
      </c>
      <c r="R4">
        <v>1</v>
      </c>
      <c r="S4"/>
      <c r="T4">
        <v>6</v>
      </c>
    </row>
    <row r="5" ht="20.4" spans="1:20">
      <c r="A5" s="8" t="s">
        <v>61</v>
      </c>
      <c r="B5" s="9" t="s">
        <v>62</v>
      </c>
      <c r="C5" s="10" t="s">
        <v>63</v>
      </c>
      <c r="D5" s="10" t="s">
        <v>47</v>
      </c>
      <c r="E5" s="10" t="s">
        <v>64</v>
      </c>
      <c r="F5" s="11" t="s">
        <v>65</v>
      </c>
      <c r="I5" t="s">
        <v>53</v>
      </c>
      <c r="J5">
        <v>1</v>
      </c>
      <c r="K5" t="s">
        <v>53</v>
      </c>
      <c r="L5">
        <v>1</v>
      </c>
      <c r="M5"/>
      <c r="N5"/>
      <c r="O5">
        <v>2</v>
      </c>
      <c r="P5">
        <v>1</v>
      </c>
      <c r="Q5"/>
      <c r="R5">
        <v>3</v>
      </c>
      <c r="S5">
        <v>2</v>
      </c>
      <c r="T5">
        <v>9</v>
      </c>
    </row>
    <row r="6" ht="20.4" spans="1:20">
      <c r="A6" s="8" t="s">
        <v>66</v>
      </c>
      <c r="B6" s="9" t="s">
        <v>67</v>
      </c>
      <c r="C6" s="10" t="s">
        <v>63</v>
      </c>
      <c r="D6" s="10" t="s">
        <v>53</v>
      </c>
      <c r="E6" s="10" t="s">
        <v>68</v>
      </c>
      <c r="F6" s="11" t="s">
        <v>69</v>
      </c>
      <c r="H6" t="s">
        <v>74</v>
      </c>
      <c r="I6"/>
      <c r="J6">
        <v>2</v>
      </c>
      <c r="K6" t="s">
        <v>47</v>
      </c>
      <c r="L6"/>
      <c r="M6"/>
      <c r="N6">
        <v>3</v>
      </c>
      <c r="O6">
        <v>1</v>
      </c>
      <c r="P6">
        <v>1</v>
      </c>
      <c r="Q6"/>
      <c r="R6">
        <v>3</v>
      </c>
      <c r="S6">
        <v>1</v>
      </c>
      <c r="T6">
        <v>9</v>
      </c>
    </row>
    <row r="7" ht="20.4" spans="1:20">
      <c r="A7" s="8" t="s">
        <v>70</v>
      </c>
      <c r="B7" s="9" t="s">
        <v>71</v>
      </c>
      <c r="C7" s="10" t="s">
        <v>58</v>
      </c>
      <c r="D7" s="10" t="s">
        <v>53</v>
      </c>
      <c r="E7" s="10" t="s">
        <v>54</v>
      </c>
      <c r="F7" s="11" t="s">
        <v>60</v>
      </c>
      <c r="I7" t="s">
        <v>75</v>
      </c>
      <c r="J7">
        <v>2</v>
      </c>
      <c r="K7" t="s">
        <v>165</v>
      </c>
      <c r="L7">
        <v>3</v>
      </c>
      <c r="M7">
        <v>2</v>
      </c>
      <c r="N7">
        <v>5</v>
      </c>
      <c r="O7">
        <v>3</v>
      </c>
      <c r="P7">
        <v>3</v>
      </c>
      <c r="Q7">
        <v>3</v>
      </c>
      <c r="R7">
        <v>7</v>
      </c>
      <c r="S7">
        <v>4</v>
      </c>
      <c r="T7">
        <v>30</v>
      </c>
    </row>
    <row r="8" ht="20.4" spans="1:10">
      <c r="A8" s="8" t="s">
        <v>72</v>
      </c>
      <c r="B8" s="9" t="s">
        <v>73</v>
      </c>
      <c r="C8" s="10" t="s">
        <v>74</v>
      </c>
      <c r="D8" s="10" t="s">
        <v>75</v>
      </c>
      <c r="E8" s="10" t="s">
        <v>68</v>
      </c>
      <c r="F8" s="11" t="s">
        <v>76</v>
      </c>
      <c r="H8" t="s">
        <v>46</v>
      </c>
      <c r="I8"/>
      <c r="J8">
        <v>5</v>
      </c>
    </row>
    <row r="9" ht="20.4" spans="1:10">
      <c r="A9" s="8" t="s">
        <v>77</v>
      </c>
      <c r="B9" s="9" t="s">
        <v>78</v>
      </c>
      <c r="C9" s="10" t="s">
        <v>74</v>
      </c>
      <c r="D9" s="10" t="s">
        <v>75</v>
      </c>
      <c r="E9" s="10" t="s">
        <v>68</v>
      </c>
      <c r="F9" s="11" t="s">
        <v>79</v>
      </c>
      <c r="I9" t="s">
        <v>95</v>
      </c>
      <c r="J9">
        <v>1</v>
      </c>
    </row>
    <row r="10" ht="20.4" spans="1:10">
      <c r="A10" s="8" t="s">
        <v>80</v>
      </c>
      <c r="B10" s="9" t="s">
        <v>81</v>
      </c>
      <c r="C10" s="10" t="s">
        <v>82</v>
      </c>
      <c r="D10" s="10" t="s">
        <v>75</v>
      </c>
      <c r="E10" s="10" t="s">
        <v>59</v>
      </c>
      <c r="F10" s="11" t="s">
        <v>83</v>
      </c>
      <c r="I10" t="s">
        <v>75</v>
      </c>
      <c r="J10">
        <v>1</v>
      </c>
    </row>
    <row r="11" ht="20.4" spans="1:10">
      <c r="A11" s="8" t="s">
        <v>84</v>
      </c>
      <c r="B11" s="9" t="s">
        <v>85</v>
      </c>
      <c r="C11" s="10" t="s">
        <v>82</v>
      </c>
      <c r="D11" s="10" t="s">
        <v>53</v>
      </c>
      <c r="E11" s="10" t="s">
        <v>64</v>
      </c>
      <c r="F11" s="11" t="s">
        <v>86</v>
      </c>
      <c r="I11" t="s">
        <v>47</v>
      </c>
      <c r="J11">
        <v>3</v>
      </c>
    </row>
    <row r="12" ht="20.4" spans="1:10">
      <c r="A12" s="8" t="s">
        <v>87</v>
      </c>
      <c r="B12" s="9" t="s">
        <v>88</v>
      </c>
      <c r="C12" s="10" t="s">
        <v>58</v>
      </c>
      <c r="D12" s="10" t="s">
        <v>53</v>
      </c>
      <c r="E12" s="10" t="s">
        <v>64</v>
      </c>
      <c r="F12" s="11" t="s">
        <v>89</v>
      </c>
      <c r="H12" t="s">
        <v>122</v>
      </c>
      <c r="I12"/>
      <c r="J12">
        <v>3</v>
      </c>
    </row>
    <row r="13" ht="20.4" spans="1:10">
      <c r="A13" s="8" t="s">
        <v>90</v>
      </c>
      <c r="B13" s="9" t="s">
        <v>91</v>
      </c>
      <c r="C13" s="10" t="s">
        <v>58</v>
      </c>
      <c r="D13" s="10" t="s">
        <v>47</v>
      </c>
      <c r="E13" s="10" t="s">
        <v>54</v>
      </c>
      <c r="F13" s="11" t="s">
        <v>92</v>
      </c>
      <c r="I13" t="s">
        <v>53</v>
      </c>
      <c r="J13">
        <v>2</v>
      </c>
    </row>
    <row r="14" ht="20.4" spans="1:10">
      <c r="A14" s="8" t="s">
        <v>93</v>
      </c>
      <c r="B14" s="9" t="s">
        <v>94</v>
      </c>
      <c r="C14" s="10" t="s">
        <v>63</v>
      </c>
      <c r="D14" s="10" t="s">
        <v>95</v>
      </c>
      <c r="E14" s="10" t="s">
        <v>59</v>
      </c>
      <c r="F14" s="11" t="s">
        <v>96</v>
      </c>
      <c r="I14" t="s">
        <v>47</v>
      </c>
      <c r="J14">
        <v>1</v>
      </c>
    </row>
    <row r="15" ht="20.4" spans="1:10">
      <c r="A15" s="8" t="s">
        <v>97</v>
      </c>
      <c r="B15" s="9" t="s">
        <v>98</v>
      </c>
      <c r="C15" s="10" t="s">
        <v>52</v>
      </c>
      <c r="D15" s="10" t="s">
        <v>95</v>
      </c>
      <c r="E15" s="10" t="s">
        <v>54</v>
      </c>
      <c r="F15" s="11" t="s">
        <v>99</v>
      </c>
      <c r="H15" t="s">
        <v>63</v>
      </c>
      <c r="I15"/>
      <c r="J15">
        <v>3</v>
      </c>
    </row>
    <row r="16" ht="20.4" spans="1:10">
      <c r="A16" s="8" t="s">
        <v>100</v>
      </c>
      <c r="B16" s="9" t="s">
        <v>101</v>
      </c>
      <c r="C16" s="10" t="s">
        <v>52</v>
      </c>
      <c r="D16" s="10" t="s">
        <v>47</v>
      </c>
      <c r="E16" s="10" t="s">
        <v>59</v>
      </c>
      <c r="F16" s="11" t="s">
        <v>89</v>
      </c>
      <c r="I16" t="s">
        <v>95</v>
      </c>
      <c r="J16">
        <v>1</v>
      </c>
    </row>
    <row r="17" ht="20.4" spans="1:10">
      <c r="A17" s="8" t="s">
        <v>102</v>
      </c>
      <c r="B17" s="9" t="s">
        <v>98</v>
      </c>
      <c r="C17" s="10" t="s">
        <v>46</v>
      </c>
      <c r="D17" s="10" t="s">
        <v>47</v>
      </c>
      <c r="E17" s="10" t="s">
        <v>59</v>
      </c>
      <c r="F17" s="11" t="s">
        <v>103</v>
      </c>
      <c r="I17" t="s">
        <v>53</v>
      </c>
      <c r="J17">
        <v>1</v>
      </c>
    </row>
    <row r="18" ht="20.4" spans="1:10">
      <c r="A18" s="8" t="s">
        <v>104</v>
      </c>
      <c r="B18" s="9" t="s">
        <v>105</v>
      </c>
      <c r="C18" s="10" t="s">
        <v>46</v>
      </c>
      <c r="D18" s="10" t="s">
        <v>75</v>
      </c>
      <c r="E18" s="10" t="s">
        <v>68</v>
      </c>
      <c r="F18" s="11" t="s">
        <v>106</v>
      </c>
      <c r="I18" t="s">
        <v>47</v>
      </c>
      <c r="J18">
        <v>1</v>
      </c>
    </row>
    <row r="19" ht="20.4" spans="1:10">
      <c r="A19" s="8" t="s">
        <v>107</v>
      </c>
      <c r="B19" s="9" t="s">
        <v>108</v>
      </c>
      <c r="C19" s="10" t="s">
        <v>46</v>
      </c>
      <c r="D19" s="10" t="s">
        <v>95</v>
      </c>
      <c r="E19" s="10" t="s">
        <v>68</v>
      </c>
      <c r="F19" s="11" t="s">
        <v>65</v>
      </c>
      <c r="H19" t="s">
        <v>114</v>
      </c>
      <c r="I19"/>
      <c r="J19">
        <v>3</v>
      </c>
    </row>
    <row r="20" ht="20.4" spans="1:10">
      <c r="A20" s="8" t="s">
        <v>109</v>
      </c>
      <c r="B20" s="9" t="s">
        <v>110</v>
      </c>
      <c r="C20" s="10" t="s">
        <v>58</v>
      </c>
      <c r="D20" s="10" t="s">
        <v>47</v>
      </c>
      <c r="E20" s="10" t="s">
        <v>64</v>
      </c>
      <c r="F20" s="11" t="s">
        <v>111</v>
      </c>
      <c r="I20" t="s">
        <v>95</v>
      </c>
      <c r="J20">
        <v>2</v>
      </c>
    </row>
    <row r="21" ht="20.4" spans="1:10">
      <c r="A21" s="8" t="s">
        <v>112</v>
      </c>
      <c r="B21" s="9" t="s">
        <v>113</v>
      </c>
      <c r="C21" s="10" t="s">
        <v>114</v>
      </c>
      <c r="D21" s="10" t="s">
        <v>95</v>
      </c>
      <c r="E21" s="10" t="s">
        <v>54</v>
      </c>
      <c r="F21" s="11" t="s">
        <v>115</v>
      </c>
      <c r="I21" t="s">
        <v>75</v>
      </c>
      <c r="J21">
        <v>1</v>
      </c>
    </row>
    <row r="22" ht="20.4" spans="1:10">
      <c r="A22" s="8" t="s">
        <v>116</v>
      </c>
      <c r="B22" s="9" t="s">
        <v>117</v>
      </c>
      <c r="C22" s="10" t="s">
        <v>82</v>
      </c>
      <c r="D22" s="10" t="s">
        <v>95</v>
      </c>
      <c r="E22" s="10" t="s">
        <v>59</v>
      </c>
      <c r="F22" s="11" t="s">
        <v>83</v>
      </c>
      <c r="H22" t="s">
        <v>58</v>
      </c>
      <c r="I22"/>
      <c r="J22">
        <v>7</v>
      </c>
    </row>
    <row r="23" ht="20.4" spans="1:10">
      <c r="A23" s="8" t="s">
        <v>118</v>
      </c>
      <c r="B23" s="9" t="s">
        <v>119</v>
      </c>
      <c r="C23" s="10" t="s">
        <v>58</v>
      </c>
      <c r="D23" s="10" t="s">
        <v>75</v>
      </c>
      <c r="E23" s="10" t="s">
        <v>64</v>
      </c>
      <c r="F23" s="11" t="s">
        <v>86</v>
      </c>
      <c r="I23" t="s">
        <v>75</v>
      </c>
      <c r="J23">
        <v>1</v>
      </c>
    </row>
    <row r="24" ht="20.4" spans="1:10">
      <c r="A24" s="8" t="s">
        <v>120</v>
      </c>
      <c r="B24" s="9" t="s">
        <v>81</v>
      </c>
      <c r="C24" s="10" t="s">
        <v>114</v>
      </c>
      <c r="D24" s="10" t="s">
        <v>75</v>
      </c>
      <c r="E24" s="10" t="s">
        <v>68</v>
      </c>
      <c r="F24" s="11" t="s">
        <v>89</v>
      </c>
      <c r="I24" t="s">
        <v>53</v>
      </c>
      <c r="J24">
        <v>3</v>
      </c>
    </row>
    <row r="25" ht="20.4" spans="1:10">
      <c r="A25" s="8" t="s">
        <v>121</v>
      </c>
      <c r="B25" s="9" t="s">
        <v>91</v>
      </c>
      <c r="C25" s="10" t="s">
        <v>122</v>
      </c>
      <c r="D25" s="10" t="s">
        <v>53</v>
      </c>
      <c r="E25" s="10" t="s">
        <v>54</v>
      </c>
      <c r="F25" s="11" t="s">
        <v>92</v>
      </c>
      <c r="I25" t="s">
        <v>47</v>
      </c>
      <c r="J25">
        <v>3</v>
      </c>
    </row>
    <row r="26" ht="20.4" spans="1:10">
      <c r="A26" s="8" t="s">
        <v>123</v>
      </c>
      <c r="B26" s="9" t="s">
        <v>124</v>
      </c>
      <c r="C26" s="10" t="s">
        <v>122</v>
      </c>
      <c r="D26" s="10" t="s">
        <v>53</v>
      </c>
      <c r="E26" s="10" t="s">
        <v>59</v>
      </c>
      <c r="F26" s="11" t="s">
        <v>96</v>
      </c>
      <c r="H26" t="s">
        <v>52</v>
      </c>
      <c r="J26">
        <v>4</v>
      </c>
    </row>
    <row r="27" ht="20.4" spans="1:10">
      <c r="A27" s="8" t="s">
        <v>125</v>
      </c>
      <c r="B27" s="9" t="s">
        <v>126</v>
      </c>
      <c r="C27" s="10" t="s">
        <v>52</v>
      </c>
      <c r="D27" s="10" t="s">
        <v>53</v>
      </c>
      <c r="E27" s="10" t="s">
        <v>59</v>
      </c>
      <c r="F27" s="11" t="s">
        <v>55</v>
      </c>
      <c r="I27" t="s">
        <v>95</v>
      </c>
      <c r="J27">
        <v>1</v>
      </c>
    </row>
    <row r="28" ht="20.4" spans="1:10">
      <c r="A28" s="8" t="s">
        <v>127</v>
      </c>
      <c r="B28" s="9" t="s">
        <v>128</v>
      </c>
      <c r="C28" s="10" t="s">
        <v>122</v>
      </c>
      <c r="D28" s="10" t="s">
        <v>47</v>
      </c>
      <c r="E28" s="10" t="s">
        <v>54</v>
      </c>
      <c r="F28" s="11" t="s">
        <v>60</v>
      </c>
      <c r="I28" t="s">
        <v>53</v>
      </c>
      <c r="J28">
        <v>2</v>
      </c>
    </row>
    <row r="29" ht="20.4" spans="1:10">
      <c r="A29" s="8" t="s">
        <v>129</v>
      </c>
      <c r="B29" s="9" t="s">
        <v>130</v>
      </c>
      <c r="C29" s="10" t="s">
        <v>114</v>
      </c>
      <c r="D29" s="10" t="s">
        <v>95</v>
      </c>
      <c r="E29" s="10" t="s">
        <v>68</v>
      </c>
      <c r="F29" s="11" t="s">
        <v>65</v>
      </c>
      <c r="I29" t="s">
        <v>47</v>
      </c>
      <c r="J29">
        <v>1</v>
      </c>
    </row>
    <row r="30" ht="20.4" spans="1:10">
      <c r="A30" s="8" t="s">
        <v>131</v>
      </c>
      <c r="B30" s="9" t="s">
        <v>132</v>
      </c>
      <c r="C30" s="10" t="s">
        <v>46</v>
      </c>
      <c r="D30" s="10" t="s">
        <v>47</v>
      </c>
      <c r="E30" s="10" t="s">
        <v>68</v>
      </c>
      <c r="F30" s="11" t="s">
        <v>69</v>
      </c>
      <c r="H30" t="s">
        <v>165</v>
      </c>
      <c r="I30"/>
      <c r="J30">
        <v>30</v>
      </c>
    </row>
    <row r="31" ht="20.4" spans="1:6">
      <c r="A31" s="12" t="s">
        <v>133</v>
      </c>
      <c r="B31" s="13" t="s">
        <v>78</v>
      </c>
      <c r="C31" s="14" t="s">
        <v>58</v>
      </c>
      <c r="D31" s="14" t="s">
        <v>53</v>
      </c>
      <c r="E31" s="14" t="s">
        <v>64</v>
      </c>
      <c r="F31" s="15" t="s">
        <v>60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Таблица</vt:lpstr>
      <vt:lpstr>График</vt:lpstr>
      <vt:lpstr>Подбор параметра</vt:lpstr>
      <vt:lpstr>Макросы</vt:lpstr>
      <vt:lpstr>Сводная Таблица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вольвокс</dc:creator>
  <cp:lastModifiedBy>Vladimir Pinaev</cp:lastModifiedBy>
  <dcterms:created xsi:type="dcterms:W3CDTF">2023-10-06T12:00:00Z</dcterms:created>
  <dcterms:modified xsi:type="dcterms:W3CDTF">2023-11-03T19:46:28Z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F57A74AF19D843E98B61C771B5CA2679</vt:lpwstr>
  </property>
  <property fmtid="{D5CDD505-2E9C-101B-9397-08002B2CF9AE}" pid="3" name="KSOProductBuildVer">
    <vt:lpwstr>1049-11.2.0.11225</vt:lpwstr>
  </property>
</Properties>
</file>